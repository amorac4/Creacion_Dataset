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Analisis\"/>
    </mc:Choice>
  </mc:AlternateContent>
  <xr:revisionPtr revIDLastSave="0" documentId="13_ncr:1_{6E64F760-5DA7-43F7-9443-8340DF4E04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Propuestas" sheetId="2" r:id="rId2"/>
    <sheet name="Temporalidad" sheetId="3" r:id="rId3"/>
    <sheet name="Splits_Propuestos" sheetId="4" r:id="rId4"/>
    <sheet name="Criterios" sheetId="5" r:id="rId5"/>
    <sheet name="Split_Todo" sheetId="6" r:id="rId6"/>
    <sheet name="Split_1000" sheetId="7" r:id="rId7"/>
    <sheet name="Split_1500" sheetId="8" r:id="rId8"/>
    <sheet name="Split_2000" sheetId="9" r:id="rId9"/>
  </sheets>
  <calcPr calcId="0"/>
</workbook>
</file>

<file path=xl/sharedStrings.xml><?xml version="1.0" encoding="utf-8"?>
<sst xmlns="http://schemas.openxmlformats.org/spreadsheetml/2006/main" count="732" uniqueCount="222">
  <si>
    <t>Propuesta de estructuracion temporal del dataset</t>
  </si>
  <si>
    <t>Familias</t>
  </si>
  <si>
    <t>Muestras</t>
  </si>
  <si>
    <t>Elegibles temporales</t>
  </si>
  <si>
    <t>Fechas outlier</t>
  </si>
  <si>
    <t>% elegibles</t>
  </si>
  <si>
    <t>Rango total actual</t>
  </si>
  <si>
    <t>Rango elegible</t>
  </si>
  <si>
    <t>Recomendacion</t>
  </si>
  <si>
    <t>9.4 : 1</t>
  </si>
  <si>
    <t>10.3 : 1</t>
  </si>
  <si>
    <t>Limitar a 1500 + split cronologico 70/15/15</t>
  </si>
  <si>
    <t>Familia</t>
  </si>
  <si>
    <t>Total</t>
  </si>
  <si>
    <t>Elegibles</t>
  </si>
  <si>
    <t>Outlier</t>
  </si>
  <si>
    <t>Estrategia</t>
  </si>
  <si>
    <t>Seleccion total</t>
  </si>
  <si>
    <t>Seleccion elegible</t>
  </si>
  <si>
    <t>Relacion elegible</t>
  </si>
  <si>
    <t>zusy</t>
  </si>
  <si>
    <t>Usar todo como esta</t>
  </si>
  <si>
    <t>strictor</t>
  </si>
  <si>
    <t>Balancear a 1000</t>
  </si>
  <si>
    <t>1.13 : 1</t>
  </si>
  <si>
    <t>vbclone</t>
  </si>
  <si>
    <t>Limitar a 1500</t>
  </si>
  <si>
    <t>1.7 : 1</t>
  </si>
  <si>
    <t>eylr</t>
  </si>
  <si>
    <t>Limitar a 2000</t>
  </si>
  <si>
    <t>2.27 : 1</t>
  </si>
  <si>
    <t>fragtor</t>
  </si>
  <si>
    <t>injector</t>
  </si>
  <si>
    <t>razy</t>
  </si>
  <si>
    <t>salgorea</t>
  </si>
  <si>
    <t>Ano creacion</t>
  </si>
  <si>
    <t>Muestras elegibles</t>
  </si>
  <si>
    <t>Relacion mayor/menor indicada</t>
  </si>
  <si>
    <t>Relacion actual con archivos</t>
  </si>
  <si>
    <t>Relacion elegible temporal</t>
  </si>
  <si>
    <t>Muestras seleccionadas</t>
  </si>
  <si>
    <t>Muestras elegibles temporales</t>
  </si>
  <si>
    <t>Min por familia</t>
  </si>
  <si>
    <t>Max por familia</t>
  </si>
  <si>
    <t>Comentario</t>
  </si>
  <si>
    <t>Uso propuesto</t>
  </si>
  <si>
    <t>8.5 : 1</t>
  </si>
  <si>
    <t>Maximiza datos, pero conserva el desbalance fuerte y mezcla familias muy dominantes.</t>
  </si>
  <si>
    <t>Usarlo como baseline descriptivo, no como particion principal de entrenamiento.</t>
  </si>
  <si>
    <t>1 : 1</t>
  </si>
  <si>
    <t>1.03 : 1</t>
  </si>
  <si>
    <t>Balance casi perfecto sin duplicar; exacto solo si se completa zusy con 32 muestras o se baja todo a 968.</t>
  </si>
  <si>
    <t>Excelente baseline controlado para comparar modelos.</t>
  </si>
  <si>
    <t>1.41 : 1</t>
  </si>
  <si>
    <t>1.55 : 1</t>
  </si>
  <si>
    <t>Buen compromiso entre balance y volumen; reduce mucho fragtor/salgorea sin perder variedad.</t>
  </si>
  <si>
    <t>Recomendacion principal para primer dataset temporal.</t>
  </si>
  <si>
    <t>1.88 : 1</t>
  </si>
  <si>
    <t>2.07 : 1</t>
  </si>
  <si>
    <t>Mas volumen que 1500, con desbalance moderado; util si el modelo tolera clases grandes.</t>
  </si>
  <si>
    <t>Buena segunda corrida si el baseline de 1500 queda estable.</t>
  </si>
  <si>
    <t>No temporal/reserva</t>
  </si>
  <si>
    <t>% elegible dentro seleccion</t>
  </si>
  <si>
    <t>Fuera de rango/vacia</t>
  </si>
  <si>
    <t>% elegible</t>
  </si>
  <si>
    <t>Creacion min valida</t>
  </si>
  <si>
    <t>Creacion max valida</t>
  </si>
  <si>
    <t>Escaneo min</t>
  </si>
  <si>
    <t>Escaneo max</t>
  </si>
  <si>
    <t>Deteccion prom.</t>
  </si>
  <si>
    <t>Deteccion mediana</t>
  </si>
  <si>
    <t>1992-06-19</t>
  </si>
  <si>
    <t>2021-11-14</t>
  </si>
  <si>
    <t>2021-10-24</t>
  </si>
  <si>
    <t>2021-11-18</t>
  </si>
  <si>
    <t>2021-11-16</t>
  </si>
  <si>
    <t>2021-10-27</t>
  </si>
  <si>
    <t>2019-01-12</t>
  </si>
  <si>
    <t>2019-04-26</t>
  </si>
  <si>
    <t>2016-03-01</t>
  </si>
  <si>
    <t>2021-10-30</t>
  </si>
  <si>
    <t>2021-09-06</t>
  </si>
  <si>
    <t>2021-10-25</t>
  </si>
  <si>
    <t>2000-02-26</t>
  </si>
  <si>
    <t>2023-07-29</t>
  </si>
  <si>
    <t>2005-03-04</t>
  </si>
  <si>
    <t>2013-01-21</t>
  </si>
  <si>
    <t>2021-11-17</t>
  </si>
  <si>
    <t>Pestana</t>
  </si>
  <si>
    <t>Elegibles usados</t>
  </si>
  <si>
    <t>Train total</t>
  </si>
  <si>
    <t>Validacion total</t>
  </si>
  <si>
    <t>Test total</t>
  </si>
  <si>
    <t>Split_Todo</t>
  </si>
  <si>
    <t>1992-2020 / 1992-2020 / 1992-2023 (ver pestana)</t>
  </si>
  <si>
    <t>Split_1000</t>
  </si>
  <si>
    <t>Split_1500</t>
  </si>
  <si>
    <t>Split_2000</t>
  </si>
  <si>
    <t>Criterio</t>
  </si>
  <si>
    <t>Propuesta</t>
  </si>
  <si>
    <t>Motivo</t>
  </si>
  <si>
    <t>Eje temporal principal</t>
  </si>
  <si>
    <t>dia_creacion_archivo valido entre 1992 y 2026</t>
  </si>
  <si>
    <t>Representa mejor la antiguedad del artefacto que la fecha de escaneo VT.</t>
  </si>
  <si>
    <t>Fallback temporal</t>
  </si>
  <si>
    <t>No usar fallback automatico para el split principal</t>
  </si>
  <si>
    <t>fecha_escaneo_vt mide recoleccion/escaneo y puede introducir sesgo de lote.</t>
  </si>
  <si>
    <t>Fechas outlier/vacias</t>
  </si>
  <si>
    <t>Reservar como holdout, auditoria o analisis no temporal</t>
  </si>
  <si>
    <t>Evita meter muestras con tiempo incierto en train/test cronologico.</t>
  </si>
  <si>
    <t>Orden del split</t>
  </si>
  <si>
    <t>Por familia, ordenar ascendente por dia_creacion_archivo</t>
  </si>
  <si>
    <t>Train queda con muestras antiguas; test con muestras recientes.</t>
  </si>
  <si>
    <t>Anios propuestos</t>
  </si>
  <si>
    <t>Se calculan con los cortes acumulados 70/15/15 de cada familia y estrategia</t>
  </si>
  <si>
    <t>Dan una guia temporal antes de seleccionar hashes especificos.</t>
  </si>
  <si>
    <t>Caps por familia</t>
  </si>
  <si>
    <t>Cuando una familia supera el cap, se usa muestreo temporal uniforme para proponer anos</t>
  </si>
  <si>
    <t>Evita que el cap se concentre solo en anos antiguos o recientes.</t>
  </si>
  <si>
    <t>Proporcion inicial</t>
  </si>
  <si>
    <t>70% train, 15% validacion, 15% test</t>
  </si>
  <si>
    <t>Es simple, reproducible y conserva evaluacion futura.</t>
  </si>
  <si>
    <t>Estrategia recomendada</t>
  </si>
  <si>
    <t>Compromiso entre balance y volumen; evita que fragtor/salgorea dominen.</t>
  </si>
  <si>
    <t>Baseline alterno</t>
  </si>
  <si>
    <t>Sirve para medir si el modelo mejora por senal o por distribucion de clases.</t>
  </si>
  <si>
    <t>Uso de todo</t>
  </si>
  <si>
    <t>Solo baseline descriptivo o entrenamiento con ponderacion</t>
  </si>
  <si>
    <t>El desbalance fuerte puede dominar el aprendizaje.</t>
  </si>
  <si>
    <t>Cap 2000</t>
  </si>
  <si>
    <t>Segunda corrida si 1500 es estable</t>
  </si>
  <si>
    <t>Aporta volumen adicional con desbalance moderado.</t>
  </si>
  <si>
    <t>Siguiente paso</t>
  </si>
  <si>
    <t>Elegir estrategia y generar lista de hashes por split</t>
  </si>
  <si>
    <t>Ahi ya seleccionamos muestras especificas.</t>
  </si>
  <si>
    <t>Semilla/reproducibilidad</t>
  </si>
  <si>
    <t>Desempatar por hash_md5 ordenado</t>
  </si>
  <si>
    <t>Hace que el resultado sea determinista si hay fechas repetidas.</t>
  </si>
  <si>
    <t>Usar todo como esta - split temporal por familia</t>
  </si>
  <si>
    <t>Elegibles usados: 26958</t>
  </si>
  <si>
    <t>Relacion elegible: 10.3 : 1</t>
  </si>
  <si>
    <t>Train total: 18868</t>
  </si>
  <si>
    <t>Validacion total: 4040</t>
  </si>
  <si>
    <t>Test total: 4050</t>
  </si>
  <si>
    <t>Sin limite</t>
  </si>
  <si>
    <t>Train 70% antiguo</t>
  </si>
  <si>
    <t>Validacion 15% intermedio</t>
  </si>
  <si>
    <t>Test 15% reciente</t>
  </si>
  <si>
    <t>Corte train hasta</t>
  </si>
  <si>
    <t>Corte validacion hasta</t>
  </si>
  <si>
    <t>Fechas train</t>
  </si>
  <si>
    <t>Fechas validacion</t>
  </si>
  <si>
    <t>Fechas test</t>
  </si>
  <si>
    <t>Regla</t>
  </si>
  <si>
    <t>1992-2012</t>
  </si>
  <si>
    <t>2012-2020</t>
  </si>
  <si>
    <t>2020-2021</t>
  </si>
  <si>
    <t>2012-02-04</t>
  </si>
  <si>
    <t>2020-05-12</t>
  </si>
  <si>
    <t>1992-06-19 a 2012-02-04</t>
  </si>
  <si>
    <t>2012-02-04 a 2020-05-12</t>
  </si>
  <si>
    <t>2020-05-12 a 2021-11-14</t>
  </si>
  <si>
    <t>Ordenar por dia_creacion_archivo valida; train=antiguo, validacion=intermedio, test=reciente.</t>
  </si>
  <si>
    <t>1992-2019</t>
  </si>
  <si>
    <t>2019</t>
  </si>
  <si>
    <t>2019-2021</t>
  </si>
  <si>
    <t>1992-06-19 a 2019-04-26</t>
  </si>
  <si>
    <t>2019-04-26 a 2019-04-26</t>
  </si>
  <si>
    <t>2019-04-26 a 2021-11-16</t>
  </si>
  <si>
    <t>2019-01-12 a 2019-01-12</t>
  </si>
  <si>
    <t>2019-01-12 a 2019-04-26</t>
  </si>
  <si>
    <t>2016</t>
  </si>
  <si>
    <t>2016-03-01 a 2016-03-01</t>
  </si>
  <si>
    <t>2012</t>
  </si>
  <si>
    <t>2012-2021</t>
  </si>
  <si>
    <t>2012-08-10</t>
  </si>
  <si>
    <t>1992-06-19 a 2012-08-10</t>
  </si>
  <si>
    <t>2012-08-10 a 2012-08-10</t>
  </si>
  <si>
    <t>2012-08-10 a 2021-11-14</t>
  </si>
  <si>
    <t>1992</t>
  </si>
  <si>
    <t>1992-2021</t>
  </si>
  <si>
    <t>1992-06-19 a 1992-06-19</t>
  </si>
  <si>
    <t>1992-06-19 a 2021-11-14</t>
  </si>
  <si>
    <t>2000-2020</t>
  </si>
  <si>
    <t>2020</t>
  </si>
  <si>
    <t>2020-2023</t>
  </si>
  <si>
    <t>2020-11-21</t>
  </si>
  <si>
    <t>2000-02-26 a 2020-11-21</t>
  </si>
  <si>
    <t>2020-11-21 a 2020-11-21</t>
  </si>
  <si>
    <t>2020-11-21 a 2023-07-29</t>
  </si>
  <si>
    <t>2005-2006</t>
  </si>
  <si>
    <t>2006</t>
  </si>
  <si>
    <t>2006-2013</t>
  </si>
  <si>
    <t>2006-12-03</t>
  </si>
  <si>
    <t>2005-03-04 a 2006-12-03</t>
  </si>
  <si>
    <t>2006-12-03 a 2006-12-03</t>
  </si>
  <si>
    <t>2006-12-03 a 2013-01-21</t>
  </si>
  <si>
    <t>Balancear a 1000 - split temporal por familia</t>
  </si>
  <si>
    <t>Elegibles usados: 7882</t>
  </si>
  <si>
    <t>Relacion elegible: 1.13 : 1</t>
  </si>
  <si>
    <t>Train total: 5517</t>
  </si>
  <si>
    <t>Validacion total: 1182</t>
  </si>
  <si>
    <t>Test total: 1183</t>
  </si>
  <si>
    <t>Objetivo 1000 por familia</t>
  </si>
  <si>
    <t>Limitar a 1500 - split temporal por familia</t>
  </si>
  <si>
    <t>Elegibles usados: 10229</t>
  </si>
  <si>
    <t>Relacion elegible: 1.7 : 1</t>
  </si>
  <si>
    <t>Train total: 7159</t>
  </si>
  <si>
    <t>Validacion total: 1533</t>
  </si>
  <si>
    <t>Test total: 1537</t>
  </si>
  <si>
    <t>Cap 1500 por familia</t>
  </si>
  <si>
    <t>Limitar a 2000 - split temporal por familia</t>
  </si>
  <si>
    <t>Elegibles usados: 12229</t>
  </si>
  <si>
    <t>Relacion elegible: 2.27 : 1</t>
  </si>
  <si>
    <t>Train total: 8559</t>
  </si>
  <si>
    <t>Validacion total: 1833</t>
  </si>
  <si>
    <t>Test total: 1837</t>
  </si>
  <si>
    <t>Cap 2000 por familia</t>
  </si>
  <si>
    <t>años train</t>
  </si>
  <si>
    <t>años validacion</t>
  </si>
  <si>
    <t>años test</t>
  </si>
  <si>
    <t>Rango años propuesto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</si>
</sst>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1"/>
      <color rgb="FF92400E"/>
      <name val="Carlito"/>
    </font>
    <font>
      <b/>
      <sz val="16"/>
      <color rgb="FFFFFFFF"/>
      <name val="Carlito"/>
    </font>
    <font>
      <u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3" fillId="4" borderId="0" xfId="0" applyFont="1" applyFill="1"/>
    <xf numFmtId="164" fontId="3" fillId="4" borderId="0" xfId="0" applyNumberFormat="1" applyFont="1" applyFill="1"/>
    <xf numFmtId="0" fontId="4" fillId="5" borderId="0" xfId="0" applyFont="1" applyFill="1"/>
    <xf numFmtId="0" fontId="2" fillId="3" borderId="0" xfId="0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1" fillId="2" borderId="0" xfId="0" applyFont="1" applyFill="1"/>
    <xf numFmtId="0" fontId="0" fillId="0" borderId="0" xfId="0"/>
    <xf numFmtId="0" fontId="4" fillId="5" borderId="0" xfId="0" applyFont="1" applyFill="1" applyAlignment="1">
      <alignment wrapText="1"/>
    </xf>
    <xf numFmtId="0" fontId="5" fillId="2" borderId="0" xfId="0" applyFont="1" applyFill="1"/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Total vs elegibles por familia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Dashboard!$A$8:$A$15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Dashboard!$B$8:$B$15</c:f>
              <c:numCache>
                <c:formatCode>General</c:formatCode>
                <c:ptCount val="8"/>
                <c:pt idx="0">
                  <c:v>968</c:v>
                </c:pt>
                <c:pt idx="1">
                  <c:v>1124</c:v>
                </c:pt>
                <c:pt idx="2">
                  <c:v>3057</c:v>
                </c:pt>
                <c:pt idx="3">
                  <c:v>1150</c:v>
                </c:pt>
                <c:pt idx="4">
                  <c:v>9103</c:v>
                </c:pt>
                <c:pt idx="5">
                  <c:v>2458</c:v>
                </c:pt>
                <c:pt idx="6">
                  <c:v>1442</c:v>
                </c:pt>
                <c:pt idx="7">
                  <c:v>8370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D-4005-A69E-88DAB529F482}"/>
            </c:ext>
          </c:extLst>
        </c:ser>
        <c:ser>
          <c:idx val="1"/>
          <c:order val="1"/>
          <c:tx>
            <c:v>Elegibles</c:v>
          </c:tx>
          <c:invertIfNegative val="1"/>
          <c:cat>
            <c:strRef>
              <c:f>Dashboard!$A$8:$A$15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Dashboard!$C$8:$C$15</c:f>
              <c:numCache>
                <c:formatCode>General</c:formatCode>
                <c:ptCount val="8"/>
                <c:pt idx="0">
                  <c:v>882</c:v>
                </c:pt>
                <c:pt idx="1">
                  <c:v>1123</c:v>
                </c:pt>
                <c:pt idx="2">
                  <c:v>3057</c:v>
                </c:pt>
                <c:pt idx="3">
                  <c:v>1150</c:v>
                </c:pt>
                <c:pt idx="4">
                  <c:v>9089</c:v>
                </c:pt>
                <c:pt idx="5">
                  <c:v>2213</c:v>
                </c:pt>
                <c:pt idx="6">
                  <c:v>1074</c:v>
                </c:pt>
                <c:pt idx="7">
                  <c:v>8370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D-4005-A69E-88DAB529F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Muestras por estrategia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Seleccion total</c:v>
          </c:tx>
          <c:invertIfNegative val="1"/>
          <c:cat>
            <c:strRef>
              <c:f>Dashboard!$F$8:$F$11</c:f>
              <c:strCache>
                <c:ptCount val="4"/>
                <c:pt idx="0">
                  <c:v>Usar todo como esta</c:v>
                </c:pt>
                <c:pt idx="1">
                  <c:v>Balancear a 1000</c:v>
                </c:pt>
                <c:pt idx="2">
                  <c:v>Limitar a 1500</c:v>
                </c:pt>
                <c:pt idx="3">
                  <c:v>Limitar a 2000</c:v>
                </c:pt>
              </c:strCache>
            </c:strRef>
          </c:cat>
          <c:val>
            <c:numRef>
              <c:f>Dashboard!$G$8:$G$11</c:f>
              <c:numCache>
                <c:formatCode>General</c:formatCode>
                <c:ptCount val="4"/>
                <c:pt idx="0">
                  <c:v>27672</c:v>
                </c:pt>
                <c:pt idx="1">
                  <c:v>7968</c:v>
                </c:pt>
                <c:pt idx="2">
                  <c:v>10684</c:v>
                </c:pt>
                <c:pt idx="3">
                  <c:v>12684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4-474D-9BB6-06BAB7124C07}"/>
            </c:ext>
          </c:extLst>
        </c:ser>
        <c:ser>
          <c:idx val="1"/>
          <c:order val="1"/>
          <c:tx>
            <c:v>Seleccion elegible</c:v>
          </c:tx>
          <c:invertIfNegative val="1"/>
          <c:cat>
            <c:strRef>
              <c:f>Dashboard!$F$8:$F$11</c:f>
              <c:strCache>
                <c:ptCount val="4"/>
                <c:pt idx="0">
                  <c:v>Usar todo como esta</c:v>
                </c:pt>
                <c:pt idx="1">
                  <c:v>Balancear a 1000</c:v>
                </c:pt>
                <c:pt idx="2">
                  <c:v>Limitar a 1500</c:v>
                </c:pt>
                <c:pt idx="3">
                  <c:v>Limitar a 2000</c:v>
                </c:pt>
              </c:strCache>
            </c:strRef>
          </c:cat>
          <c:val>
            <c:numRef>
              <c:f>Dashboard!$H$8:$H$11</c:f>
              <c:numCache>
                <c:formatCode>General</c:formatCode>
                <c:ptCount val="4"/>
                <c:pt idx="0">
                  <c:v>26958</c:v>
                </c:pt>
                <c:pt idx="1">
                  <c:v>7882</c:v>
                </c:pt>
                <c:pt idx="2">
                  <c:v>10229</c:v>
                </c:pt>
                <c:pt idx="3">
                  <c:v>12229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4-474D-9BB6-06BAB7124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Distribucion temporal por ano de creacion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Muestras elegibles</c:v>
          </c:tx>
          <c:cat>
            <c:numRef>
              <c:f>Dashboard!$A$20:$A$44</c:f>
              <c:numCache>
                <c:formatCode>General</c:formatCode>
                <c:ptCount val="25"/>
                <c:pt idx="0">
                  <c:v>1992</c:v>
                </c:pt>
                <c:pt idx="1">
                  <c:v>1997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numCache>
            </c:numRef>
          </c:cat>
          <c:val>
            <c:numRef>
              <c:f>Dashboard!$B$20:$B$44</c:f>
              <c:numCache>
                <c:formatCode>General</c:formatCode>
                <c:ptCount val="25"/>
                <c:pt idx="0">
                  <c:v>2014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9</c:v>
                </c:pt>
                <c:pt idx="7">
                  <c:v>2621</c:v>
                </c:pt>
                <c:pt idx="8">
                  <c:v>5706</c:v>
                </c:pt>
                <c:pt idx="9">
                  <c:v>54</c:v>
                </c:pt>
                <c:pt idx="10">
                  <c:v>286</c:v>
                </c:pt>
                <c:pt idx="11">
                  <c:v>17</c:v>
                </c:pt>
                <c:pt idx="12">
                  <c:v>25</c:v>
                </c:pt>
                <c:pt idx="13">
                  <c:v>125</c:v>
                </c:pt>
                <c:pt idx="14">
                  <c:v>9075</c:v>
                </c:pt>
                <c:pt idx="15">
                  <c:v>182</c:v>
                </c:pt>
                <c:pt idx="16">
                  <c:v>34</c:v>
                </c:pt>
                <c:pt idx="17">
                  <c:v>84</c:v>
                </c:pt>
                <c:pt idx="18">
                  <c:v>1166</c:v>
                </c:pt>
                <c:pt idx="19">
                  <c:v>22</c:v>
                </c:pt>
                <c:pt idx="20">
                  <c:v>106</c:v>
                </c:pt>
                <c:pt idx="21">
                  <c:v>4369</c:v>
                </c:pt>
                <c:pt idx="22">
                  <c:v>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5-4B90-9389-7FF9DA824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Fechas outlier por familia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Outlier</c:v>
          </c:tx>
          <c:invertIfNegative val="1"/>
          <c:cat>
            <c:strRef>
              <c:f>Dashboard!$AA$8:$AA$15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Dashboard!$AB$8:$AB$15</c:f>
              <c:numCache>
                <c:formatCode>General</c:formatCode>
                <c:ptCount val="8"/>
                <c:pt idx="0">
                  <c:v>86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14</c:v>
                </c:pt>
                <c:pt idx="5">
                  <c:v>245</c:v>
                </c:pt>
                <c:pt idx="6">
                  <c:v>368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7-4E01-B691-A6EEDF851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Usar todo como esta: train / validacion / test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Train 70% antiguo</c:v>
          </c:tx>
          <c:invertIfNegative val="1"/>
          <c:cat>
            <c:strRef>
              <c:f>Split_Todo!$Q$5:$Q$12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Split_Todo!$R$5:$R$12</c:f>
              <c:numCache>
                <c:formatCode>General</c:formatCode>
                <c:ptCount val="8"/>
                <c:pt idx="0">
                  <c:v>617</c:v>
                </c:pt>
                <c:pt idx="1">
                  <c:v>786</c:v>
                </c:pt>
                <c:pt idx="2">
                  <c:v>2139</c:v>
                </c:pt>
                <c:pt idx="3">
                  <c:v>805</c:v>
                </c:pt>
                <c:pt idx="4">
                  <c:v>6362</c:v>
                </c:pt>
                <c:pt idx="5">
                  <c:v>1549</c:v>
                </c:pt>
                <c:pt idx="6">
                  <c:v>751</c:v>
                </c:pt>
                <c:pt idx="7">
                  <c:v>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A-4FCF-9869-D462E911A081}"/>
            </c:ext>
          </c:extLst>
        </c:ser>
        <c:ser>
          <c:idx val="1"/>
          <c:order val="1"/>
          <c:tx>
            <c:v>Validacion 15% intermedio</c:v>
          </c:tx>
          <c:invertIfNegative val="1"/>
          <c:cat>
            <c:strRef>
              <c:f>Split_Todo!$Q$5:$Q$12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Split_Todo!$S$5:$S$12</c:f>
              <c:numCache>
                <c:formatCode>General</c:formatCode>
                <c:ptCount val="8"/>
                <c:pt idx="0">
                  <c:v>132</c:v>
                </c:pt>
                <c:pt idx="1">
                  <c:v>168</c:v>
                </c:pt>
                <c:pt idx="2">
                  <c:v>458</c:v>
                </c:pt>
                <c:pt idx="3">
                  <c:v>172</c:v>
                </c:pt>
                <c:pt idx="4">
                  <c:v>1363</c:v>
                </c:pt>
                <c:pt idx="5">
                  <c:v>331</c:v>
                </c:pt>
                <c:pt idx="6">
                  <c:v>161</c:v>
                </c:pt>
                <c:pt idx="7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9A-4FCF-9869-D462E911A081}"/>
            </c:ext>
          </c:extLst>
        </c:ser>
        <c:ser>
          <c:idx val="2"/>
          <c:order val="2"/>
          <c:tx>
            <c:v>Test 15% reciente</c:v>
          </c:tx>
          <c:invertIfNegative val="1"/>
          <c:cat>
            <c:strRef>
              <c:f>Split_Todo!$Q$5:$Q$12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Split_Todo!$T$5:$T$12</c:f>
              <c:numCache>
                <c:formatCode>General</c:formatCode>
                <c:ptCount val="8"/>
                <c:pt idx="0">
                  <c:v>133</c:v>
                </c:pt>
                <c:pt idx="1">
                  <c:v>169</c:v>
                </c:pt>
                <c:pt idx="2">
                  <c:v>460</c:v>
                </c:pt>
                <c:pt idx="3">
                  <c:v>173</c:v>
                </c:pt>
                <c:pt idx="4">
                  <c:v>1364</c:v>
                </c:pt>
                <c:pt idx="5">
                  <c:v>333</c:v>
                </c:pt>
                <c:pt idx="6">
                  <c:v>162</c:v>
                </c:pt>
                <c:pt idx="7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9A-4FCF-9869-D462E911A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Balancear a 1000: train / validacion / test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Train 70% antiguo</c:v>
          </c:tx>
          <c:invertIfNegative val="1"/>
          <c:cat>
            <c:strRef>
              <c:f>Split_1000!$Q$5:$Q$12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Split_1000!$R$5:$R$12</c:f>
              <c:numCache>
                <c:formatCode>General</c:formatCode>
                <c:ptCount val="8"/>
                <c:pt idx="0">
                  <c:v>617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C-4EED-8B07-FB40E64E2579}"/>
            </c:ext>
          </c:extLst>
        </c:ser>
        <c:ser>
          <c:idx val="1"/>
          <c:order val="1"/>
          <c:tx>
            <c:v>Validacion 15% intermedio</c:v>
          </c:tx>
          <c:invertIfNegative val="1"/>
          <c:cat>
            <c:strRef>
              <c:f>Split_1000!$Q$5:$Q$12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Split_1000!$S$5:$S$12</c:f>
              <c:numCache>
                <c:formatCode>General</c:formatCode>
                <c:ptCount val="8"/>
                <c:pt idx="0">
                  <c:v>132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C-4EED-8B07-FB40E64E2579}"/>
            </c:ext>
          </c:extLst>
        </c:ser>
        <c:ser>
          <c:idx val="2"/>
          <c:order val="2"/>
          <c:tx>
            <c:v>Test 15% reciente</c:v>
          </c:tx>
          <c:invertIfNegative val="1"/>
          <c:cat>
            <c:strRef>
              <c:f>Split_1000!$Q$5:$Q$12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Split_1000!$T$5:$T$12</c:f>
              <c:numCache>
                <c:formatCode>General</c:formatCode>
                <c:ptCount val="8"/>
                <c:pt idx="0">
                  <c:v>133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DC-4EED-8B07-FB40E64E2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Limitar a 1500: train / validacion / test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Train 70% antiguo</c:v>
          </c:tx>
          <c:invertIfNegative val="1"/>
          <c:cat>
            <c:strRef>
              <c:f>Split_1500!$Q$5:$Q$12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Split_1500!$R$5:$R$12</c:f>
              <c:numCache>
                <c:formatCode>General</c:formatCode>
                <c:ptCount val="8"/>
                <c:pt idx="0">
                  <c:v>617</c:v>
                </c:pt>
                <c:pt idx="1">
                  <c:v>786</c:v>
                </c:pt>
                <c:pt idx="2">
                  <c:v>1050</c:v>
                </c:pt>
                <c:pt idx="3">
                  <c:v>805</c:v>
                </c:pt>
                <c:pt idx="4">
                  <c:v>1050</c:v>
                </c:pt>
                <c:pt idx="5">
                  <c:v>1050</c:v>
                </c:pt>
                <c:pt idx="6">
                  <c:v>751</c:v>
                </c:pt>
                <c:pt idx="7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C-4003-B399-E956BDED2EB1}"/>
            </c:ext>
          </c:extLst>
        </c:ser>
        <c:ser>
          <c:idx val="1"/>
          <c:order val="1"/>
          <c:tx>
            <c:v>Validacion 15% intermedio</c:v>
          </c:tx>
          <c:invertIfNegative val="1"/>
          <c:cat>
            <c:strRef>
              <c:f>Split_1500!$Q$5:$Q$12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Split_1500!$S$5:$S$12</c:f>
              <c:numCache>
                <c:formatCode>General</c:formatCode>
                <c:ptCount val="8"/>
                <c:pt idx="0">
                  <c:v>132</c:v>
                </c:pt>
                <c:pt idx="1">
                  <c:v>168</c:v>
                </c:pt>
                <c:pt idx="2">
                  <c:v>225</c:v>
                </c:pt>
                <c:pt idx="3">
                  <c:v>172</c:v>
                </c:pt>
                <c:pt idx="4">
                  <c:v>225</c:v>
                </c:pt>
                <c:pt idx="5">
                  <c:v>225</c:v>
                </c:pt>
                <c:pt idx="6">
                  <c:v>161</c:v>
                </c:pt>
                <c:pt idx="7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C-4003-B399-E956BDED2EB1}"/>
            </c:ext>
          </c:extLst>
        </c:ser>
        <c:ser>
          <c:idx val="2"/>
          <c:order val="2"/>
          <c:tx>
            <c:v>Test 15% reciente</c:v>
          </c:tx>
          <c:invertIfNegative val="1"/>
          <c:cat>
            <c:strRef>
              <c:f>Split_1500!$Q$5:$Q$12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Split_1500!$T$5:$T$12</c:f>
              <c:numCache>
                <c:formatCode>General</c:formatCode>
                <c:ptCount val="8"/>
                <c:pt idx="0">
                  <c:v>133</c:v>
                </c:pt>
                <c:pt idx="1">
                  <c:v>169</c:v>
                </c:pt>
                <c:pt idx="2">
                  <c:v>225</c:v>
                </c:pt>
                <c:pt idx="3">
                  <c:v>173</c:v>
                </c:pt>
                <c:pt idx="4">
                  <c:v>225</c:v>
                </c:pt>
                <c:pt idx="5">
                  <c:v>225</c:v>
                </c:pt>
                <c:pt idx="6">
                  <c:v>162</c:v>
                </c:pt>
                <c:pt idx="7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0C-4003-B399-E956BDED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Limitar a 2000: train / validacion / test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Train 70% antiguo</c:v>
          </c:tx>
          <c:invertIfNegative val="1"/>
          <c:cat>
            <c:strRef>
              <c:f>Split_2000!$Q$5:$Q$12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Split_2000!$R$5:$R$12</c:f>
              <c:numCache>
                <c:formatCode>General</c:formatCode>
                <c:ptCount val="8"/>
                <c:pt idx="0">
                  <c:v>617</c:v>
                </c:pt>
                <c:pt idx="1">
                  <c:v>786</c:v>
                </c:pt>
                <c:pt idx="2">
                  <c:v>1400</c:v>
                </c:pt>
                <c:pt idx="3">
                  <c:v>805</c:v>
                </c:pt>
                <c:pt idx="4">
                  <c:v>1400</c:v>
                </c:pt>
                <c:pt idx="5">
                  <c:v>1400</c:v>
                </c:pt>
                <c:pt idx="6">
                  <c:v>751</c:v>
                </c:pt>
                <c:pt idx="7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E-4D81-ADE1-FCEC1BB4BE2A}"/>
            </c:ext>
          </c:extLst>
        </c:ser>
        <c:ser>
          <c:idx val="1"/>
          <c:order val="1"/>
          <c:tx>
            <c:v>Validacion 15% intermedio</c:v>
          </c:tx>
          <c:invertIfNegative val="1"/>
          <c:cat>
            <c:strRef>
              <c:f>Split_2000!$Q$5:$Q$12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Split_2000!$S$5:$S$12</c:f>
              <c:numCache>
                <c:formatCode>General</c:formatCode>
                <c:ptCount val="8"/>
                <c:pt idx="0">
                  <c:v>132</c:v>
                </c:pt>
                <c:pt idx="1">
                  <c:v>168</c:v>
                </c:pt>
                <c:pt idx="2">
                  <c:v>300</c:v>
                </c:pt>
                <c:pt idx="3">
                  <c:v>172</c:v>
                </c:pt>
                <c:pt idx="4">
                  <c:v>300</c:v>
                </c:pt>
                <c:pt idx="5">
                  <c:v>300</c:v>
                </c:pt>
                <c:pt idx="6">
                  <c:v>161</c:v>
                </c:pt>
                <c:pt idx="7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9E-4D81-ADE1-FCEC1BB4BE2A}"/>
            </c:ext>
          </c:extLst>
        </c:ser>
        <c:ser>
          <c:idx val="2"/>
          <c:order val="2"/>
          <c:tx>
            <c:v>Test 15% reciente</c:v>
          </c:tx>
          <c:invertIfNegative val="1"/>
          <c:cat>
            <c:strRef>
              <c:f>Split_2000!$Q$5:$Q$12</c:f>
              <c:strCache>
                <c:ptCount val="8"/>
                <c:pt idx="0">
                  <c:v>zusy</c:v>
                </c:pt>
                <c:pt idx="1">
                  <c:v>strictor</c:v>
                </c:pt>
                <c:pt idx="2">
                  <c:v>vbclone</c:v>
                </c:pt>
                <c:pt idx="3">
                  <c:v>eylr</c:v>
                </c:pt>
                <c:pt idx="4">
                  <c:v>fragtor</c:v>
                </c:pt>
                <c:pt idx="5">
                  <c:v>injector</c:v>
                </c:pt>
                <c:pt idx="6">
                  <c:v>razy</c:v>
                </c:pt>
                <c:pt idx="7">
                  <c:v>salgorea</c:v>
                </c:pt>
              </c:strCache>
            </c:strRef>
          </c:cat>
          <c:val>
            <c:numRef>
              <c:f>Split_2000!$T$5:$T$12</c:f>
              <c:numCache>
                <c:formatCode>General</c:formatCode>
                <c:ptCount val="8"/>
                <c:pt idx="0">
                  <c:v>133</c:v>
                </c:pt>
                <c:pt idx="1">
                  <c:v>169</c:v>
                </c:pt>
                <c:pt idx="2">
                  <c:v>300</c:v>
                </c:pt>
                <c:pt idx="3">
                  <c:v>173</c:v>
                </c:pt>
                <c:pt idx="4">
                  <c:v>300</c:v>
                </c:pt>
                <c:pt idx="5">
                  <c:v>300</c:v>
                </c:pt>
                <c:pt idx="6">
                  <c:v>162</c:v>
                </c:pt>
                <c:pt idx="7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9E-4D81-ADE1-FCEC1BB4B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15</xdr:row>
      <xdr:rowOff>0</xdr:rowOff>
    </xdr:from>
    <xdr:to>
      <xdr:col>7</xdr:col>
      <xdr:colOff>1352550</xdr:colOff>
      <xdr:row>31</xdr:row>
      <xdr:rowOff>19050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15</xdr:row>
      <xdr:rowOff>9525</xdr:rowOff>
    </xdr:from>
    <xdr:to>
      <xdr:col>6</xdr:col>
      <xdr:colOff>438150</xdr:colOff>
      <xdr:row>31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16</xdr:row>
      <xdr:rowOff>19050</xdr:rowOff>
    </xdr:from>
    <xdr:to>
      <xdr:col>6</xdr:col>
      <xdr:colOff>1333500</xdr:colOff>
      <xdr:row>32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1390651</xdr:colOff>
      <xdr:row>17</xdr:row>
      <xdr:rowOff>76487</xdr:rowOff>
    </xdr:from>
    <xdr:to>
      <xdr:col>7</xdr:col>
      <xdr:colOff>1164937</xdr:colOff>
      <xdr:row>33</xdr:row>
      <xdr:rowOff>86012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strategias" displayName="TablaEstrategias" ref="A1:J5">
  <tableColumns count="10">
    <tableColumn id="1" xr3:uid="{00000000-0010-0000-0000-000001000000}" name="Estrategia"/>
    <tableColumn id="2" xr3:uid="{00000000-0010-0000-0000-000002000000}" name="Relacion mayor/menor indicada"/>
    <tableColumn id="3" xr3:uid="{00000000-0010-0000-0000-000003000000}" name="Relacion actual con archivos"/>
    <tableColumn id="4" xr3:uid="{00000000-0010-0000-0000-000004000000}" name="Relacion elegible temporal"/>
    <tableColumn id="5" xr3:uid="{00000000-0010-0000-0000-000005000000}" name="Muestras seleccionadas"/>
    <tableColumn id="6" xr3:uid="{00000000-0010-0000-0000-000006000000}" name="Muestras elegibles temporales"/>
    <tableColumn id="7" xr3:uid="{00000000-0010-0000-0000-000007000000}" name="Min por familia"/>
    <tableColumn id="8" xr3:uid="{00000000-0010-0000-0000-000008000000}" name="Max por familia"/>
    <tableColumn id="9" xr3:uid="{00000000-0010-0000-0000-000009000000}" name="Comentario"/>
    <tableColumn id="10" xr3:uid="{00000000-0010-0000-0000-00000A000000}" name="Uso propue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actoPorFamilia" displayName="ImpactoPorFamilia" ref="A9:F41">
  <tableColumns count="6">
    <tableColumn id="1" xr3:uid="{00000000-0010-0000-0100-000001000000}" name="Estrategia"/>
    <tableColumn id="2" xr3:uid="{00000000-0010-0000-0100-000002000000}" name="Familia"/>
    <tableColumn id="3" xr3:uid="{00000000-0010-0000-0100-000003000000}" name="Seleccion total"/>
    <tableColumn id="4" xr3:uid="{00000000-0010-0000-0100-000004000000}" name="Seleccion elegible"/>
    <tableColumn id="5" xr3:uid="{00000000-0010-0000-0100-000005000000}" name="No temporal/reserva"/>
    <tableColumn id="6" xr3:uid="{00000000-0010-0000-0100-000006000000}" name="% elegible dentro selec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berturaTemporal" displayName="CoberturaTemporal" ref="A1:K9">
  <tableColumns count="11">
    <tableColumn id="1" xr3:uid="{00000000-0010-0000-0200-000001000000}" name="Familia"/>
    <tableColumn id="2" xr3:uid="{00000000-0010-0000-0200-000002000000}" name="Total"/>
    <tableColumn id="3" xr3:uid="{00000000-0010-0000-0200-000003000000}" name="Elegibles temporales"/>
    <tableColumn id="4" xr3:uid="{00000000-0010-0000-0200-000004000000}" name="Fuera de rango/vacia"/>
    <tableColumn id="5" xr3:uid="{00000000-0010-0000-0200-000005000000}" name="% elegible"/>
    <tableColumn id="6" xr3:uid="{00000000-0010-0000-0200-000006000000}" name="Creacion min valida"/>
    <tableColumn id="7" xr3:uid="{00000000-0010-0000-0200-000007000000}" name="Creacion max valida"/>
    <tableColumn id="8" xr3:uid="{00000000-0010-0000-0200-000008000000}" name="Escaneo min"/>
    <tableColumn id="9" xr3:uid="{00000000-0010-0000-0200-000009000000}" name="Escaneo max"/>
    <tableColumn id="10" xr3:uid="{00000000-0010-0000-0200-00000A000000}" name="Deteccion prom."/>
    <tableColumn id="11" xr3:uid="{00000000-0010-0000-0200-00000B000000}" name="Deteccion median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stribucionAnual" displayName="DistribucionAnual" ref="A13:B38">
  <tableColumns count="2">
    <tableColumn id="1" xr3:uid="{00000000-0010-0000-0300-000001000000}" name="Ano creacion"/>
    <tableColumn id="2" xr3:uid="{00000000-0010-0000-0300-000002000000}" name="Muestras elegib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diceSplits" displayName="IndiceSplits" ref="A1:I5">
  <tableColumns count="9">
    <tableColumn id="1" xr3:uid="{00000000-0010-0000-0400-000001000000}" name="Estrategia"/>
    <tableColumn id="2" xr3:uid="{00000000-0010-0000-0400-000002000000}" name="Pestana"/>
    <tableColumn id="3" xr3:uid="{00000000-0010-0000-0400-000003000000}" name="Elegibles usados"/>
    <tableColumn id="4" xr3:uid="{00000000-0010-0000-0400-000004000000}" name="Train total"/>
    <tableColumn id="5" xr3:uid="{00000000-0010-0000-0400-000005000000}" name="Validacion total"/>
    <tableColumn id="6" xr3:uid="{00000000-0010-0000-0400-000006000000}" name="Test total"/>
    <tableColumn id="7" xr3:uid="{00000000-0010-0000-0400-000007000000}" name="Relacion elegible"/>
    <tableColumn id="8" xr3:uid="{00000000-0010-0000-0400-000008000000}" name="Rango años propuesto"/>
    <tableColumn id="9" xr3:uid="{00000000-0010-0000-0400-000009000000}" name="Uso propues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SplitTodo" displayName="TablaSplitTodo" ref="A4:N12">
  <tableColumns count="14">
    <tableColumn id="1" xr3:uid="{00000000-0010-0000-0500-000001000000}" name="Familia"/>
    <tableColumn id="2" xr3:uid="{00000000-0010-0000-0500-000002000000}" name="Elegibles usados"/>
    <tableColumn id="3" xr3:uid="{00000000-0010-0000-0500-000003000000}" name="Train 70% antiguo"/>
    <tableColumn id="4" xr3:uid="{00000000-0010-0000-0500-000004000000}" name="Validacion 15% intermedio"/>
    <tableColumn id="5" xr3:uid="{00000000-0010-0000-0500-000005000000}" name="Test 15% reciente"/>
    <tableColumn id="6" xr3:uid="{00000000-0010-0000-0500-000006000000}" name="años train"/>
    <tableColumn id="7" xr3:uid="{00000000-0010-0000-0500-000007000000}" name="años validacion"/>
    <tableColumn id="8" xr3:uid="{00000000-0010-0000-0500-000008000000}" name="años test"/>
    <tableColumn id="9" xr3:uid="{00000000-0010-0000-0500-000009000000}" name="Corte train hasta"/>
    <tableColumn id="10" xr3:uid="{00000000-0010-0000-0500-00000A000000}" name="Corte validacion hasta"/>
    <tableColumn id="11" xr3:uid="{00000000-0010-0000-0500-00000B000000}" name="Fechas train"/>
    <tableColumn id="12" xr3:uid="{00000000-0010-0000-0500-00000C000000}" name="Fechas validacion"/>
    <tableColumn id="13" xr3:uid="{00000000-0010-0000-0500-00000D000000}" name="Fechas test"/>
    <tableColumn id="14" xr3:uid="{00000000-0010-0000-0500-00000E000000}" name="Regl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Split1000" displayName="TablaSplit1000" ref="A4:N12">
  <tableColumns count="14">
    <tableColumn id="1" xr3:uid="{00000000-0010-0000-0600-000001000000}" name="Familia"/>
    <tableColumn id="2" xr3:uid="{00000000-0010-0000-0600-000002000000}" name="Elegibles usados"/>
    <tableColumn id="3" xr3:uid="{00000000-0010-0000-0600-000003000000}" name="Train 70% antiguo"/>
    <tableColumn id="4" xr3:uid="{00000000-0010-0000-0600-000004000000}" name="Validacion 15% intermedio"/>
    <tableColumn id="5" xr3:uid="{00000000-0010-0000-0600-000005000000}" name="Test 15% reciente"/>
    <tableColumn id="6" xr3:uid="{00000000-0010-0000-0600-000006000000}" name="años train"/>
    <tableColumn id="7" xr3:uid="{00000000-0010-0000-0600-000007000000}" name="años validacion"/>
    <tableColumn id="8" xr3:uid="{00000000-0010-0000-0600-000008000000}" name="años test"/>
    <tableColumn id="9" xr3:uid="{00000000-0010-0000-0600-000009000000}" name="Corte train hasta"/>
    <tableColumn id="10" xr3:uid="{00000000-0010-0000-0600-00000A000000}" name="Corte validacion hasta"/>
    <tableColumn id="11" xr3:uid="{00000000-0010-0000-0600-00000B000000}" name="Fechas train"/>
    <tableColumn id="12" xr3:uid="{00000000-0010-0000-0600-00000C000000}" name="Fechas validacion"/>
    <tableColumn id="13" xr3:uid="{00000000-0010-0000-0600-00000D000000}" name="Fechas test"/>
    <tableColumn id="14" xr3:uid="{00000000-0010-0000-0600-00000E000000}" name="Regl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Split1500" displayName="TablaSplit1500" ref="A4:N12">
  <tableColumns count="14">
    <tableColumn id="1" xr3:uid="{00000000-0010-0000-0700-000001000000}" name="Familia"/>
    <tableColumn id="2" xr3:uid="{00000000-0010-0000-0700-000002000000}" name="Elegibles usados"/>
    <tableColumn id="3" xr3:uid="{00000000-0010-0000-0700-000003000000}" name="Train 70% antiguo"/>
    <tableColumn id="4" xr3:uid="{00000000-0010-0000-0700-000004000000}" name="Validacion 15% intermedio"/>
    <tableColumn id="5" xr3:uid="{00000000-0010-0000-0700-000005000000}" name="Test 15% reciente"/>
    <tableColumn id="6" xr3:uid="{00000000-0010-0000-0700-000006000000}" name="años train"/>
    <tableColumn id="7" xr3:uid="{00000000-0010-0000-0700-000007000000}" name="años validacion"/>
    <tableColumn id="8" xr3:uid="{00000000-0010-0000-0700-000008000000}" name="años test"/>
    <tableColumn id="9" xr3:uid="{00000000-0010-0000-0700-000009000000}" name="Corte train hasta"/>
    <tableColumn id="10" xr3:uid="{00000000-0010-0000-0700-00000A000000}" name="Corte validacion hasta"/>
    <tableColumn id="11" xr3:uid="{00000000-0010-0000-0700-00000B000000}" name="Fechas train"/>
    <tableColumn id="12" xr3:uid="{00000000-0010-0000-0700-00000C000000}" name="Fechas validacion"/>
    <tableColumn id="13" xr3:uid="{00000000-0010-0000-0700-00000D000000}" name="Fechas test"/>
    <tableColumn id="14" xr3:uid="{00000000-0010-0000-0700-00000E000000}" name="Regl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Split2000" displayName="TablaSplit2000" ref="A4:N12">
  <tableColumns count="14">
    <tableColumn id="1" xr3:uid="{00000000-0010-0000-0800-000001000000}" name="Familia"/>
    <tableColumn id="2" xr3:uid="{00000000-0010-0000-0800-000002000000}" name="Elegibles usados"/>
    <tableColumn id="3" xr3:uid="{00000000-0010-0000-0800-000003000000}" name="Train 70% antiguo"/>
    <tableColumn id="4" xr3:uid="{00000000-0010-0000-0800-000004000000}" name="Validacion 15% intermedio"/>
    <tableColumn id="5" xr3:uid="{00000000-0010-0000-0800-000005000000}" name="Test 15% reciente"/>
    <tableColumn id="6" xr3:uid="{00000000-0010-0000-0800-000006000000}" name="años train"/>
    <tableColumn id="7" xr3:uid="{00000000-0010-0000-0800-000007000000}" name="años validacion"/>
    <tableColumn id="8" xr3:uid="{00000000-0010-0000-0800-000008000000}" name="años test"/>
    <tableColumn id="9" xr3:uid="{00000000-0010-0000-0800-000009000000}" name="Corte train hasta"/>
    <tableColumn id="10" xr3:uid="{00000000-0010-0000-0800-00000A000000}" name="Corte validacion hasta"/>
    <tableColumn id="11" xr3:uid="{00000000-0010-0000-0800-00000B000000}" name="Fechas train"/>
    <tableColumn id="12" xr3:uid="{00000000-0010-0000-0800-00000C000000}" name="Fechas validacion"/>
    <tableColumn id="13" xr3:uid="{00000000-0010-0000-0800-00000D000000}" name="Fechas test"/>
    <tableColumn id="14" xr3:uid="{00000000-0010-0000-0800-00000E000000}" name="Reg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"/>
  <sheetViews>
    <sheetView showGridLines="0" tabSelected="1" workbookViewId="0">
      <selection activeCell="G31" sqref="G31"/>
    </sheetView>
  </sheetViews>
  <sheetFormatPr baseColWidth="10" defaultColWidth="9" defaultRowHeight="14.25"/>
  <cols>
    <col min="1" max="5" width="19.375" customWidth="1"/>
    <col min="6" max="8" width="21.25" customWidth="1"/>
    <col min="9" max="9" width="23.75" customWidth="1"/>
  </cols>
  <sheetData>
    <row r="1" spans="1:28" ht="23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28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8" ht="15">
      <c r="A4" s="2">
        <v>8</v>
      </c>
      <c r="B4" s="2">
        <v>27672</v>
      </c>
      <c r="C4" s="2">
        <v>26958</v>
      </c>
      <c r="D4" s="2">
        <v>714</v>
      </c>
      <c r="E4" s="3">
        <v>0.97419774501300949</v>
      </c>
      <c r="F4" s="2" t="s">
        <v>9</v>
      </c>
      <c r="G4" s="2" t="s">
        <v>10</v>
      </c>
      <c r="H4" s="2" t="s">
        <v>11</v>
      </c>
    </row>
    <row r="7" spans="1:28" ht="15">
      <c r="A7" s="1" t="s">
        <v>12</v>
      </c>
      <c r="B7" s="1" t="s">
        <v>13</v>
      </c>
      <c r="C7" s="1" t="s">
        <v>14</v>
      </c>
      <c r="D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AA7" t="s">
        <v>12</v>
      </c>
      <c r="AB7" t="s">
        <v>15</v>
      </c>
    </row>
    <row r="8" spans="1:28">
      <c r="A8" t="s">
        <v>20</v>
      </c>
      <c r="B8">
        <v>968</v>
      </c>
      <c r="C8">
        <v>882</v>
      </c>
      <c r="D8">
        <v>86</v>
      </c>
      <c r="F8" t="s">
        <v>21</v>
      </c>
      <c r="G8">
        <v>27672</v>
      </c>
      <c r="H8">
        <v>26958</v>
      </c>
      <c r="I8" t="s">
        <v>10</v>
      </c>
      <c r="AA8" t="s">
        <v>20</v>
      </c>
      <c r="AB8">
        <v>86</v>
      </c>
    </row>
    <row r="9" spans="1:28">
      <c r="A9" t="s">
        <v>22</v>
      </c>
      <c r="B9">
        <v>1124</v>
      </c>
      <c r="C9">
        <v>1123</v>
      </c>
      <c r="D9">
        <v>1</v>
      </c>
      <c r="F9" t="s">
        <v>23</v>
      </c>
      <c r="G9">
        <v>7968</v>
      </c>
      <c r="H9">
        <v>7882</v>
      </c>
      <c r="I9" t="s">
        <v>24</v>
      </c>
      <c r="AA9" t="s">
        <v>22</v>
      </c>
      <c r="AB9">
        <v>1</v>
      </c>
    </row>
    <row r="10" spans="1:28">
      <c r="A10" t="s">
        <v>25</v>
      </c>
      <c r="B10">
        <v>3057</v>
      </c>
      <c r="C10">
        <v>3057</v>
      </c>
      <c r="D10">
        <v>0</v>
      </c>
      <c r="F10" t="s">
        <v>26</v>
      </c>
      <c r="G10">
        <v>10684</v>
      </c>
      <c r="H10">
        <v>10229</v>
      </c>
      <c r="I10" t="s">
        <v>27</v>
      </c>
      <c r="AA10" t="s">
        <v>25</v>
      </c>
      <c r="AB10">
        <v>0</v>
      </c>
    </row>
    <row r="11" spans="1:28">
      <c r="A11" t="s">
        <v>28</v>
      </c>
      <c r="B11">
        <v>1150</v>
      </c>
      <c r="C11">
        <v>1150</v>
      </c>
      <c r="D11">
        <v>0</v>
      </c>
      <c r="F11" t="s">
        <v>29</v>
      </c>
      <c r="G11">
        <v>12684</v>
      </c>
      <c r="H11">
        <v>12229</v>
      </c>
      <c r="I11" t="s">
        <v>30</v>
      </c>
      <c r="AA11" t="s">
        <v>28</v>
      </c>
      <c r="AB11">
        <v>0</v>
      </c>
    </row>
    <row r="12" spans="1:28">
      <c r="A12" t="s">
        <v>31</v>
      </c>
      <c r="B12">
        <v>9103</v>
      </c>
      <c r="C12">
        <v>9089</v>
      </c>
      <c r="D12">
        <v>14</v>
      </c>
      <c r="AA12" t="s">
        <v>31</v>
      </c>
      <c r="AB12">
        <v>14</v>
      </c>
    </row>
    <row r="13" spans="1:28">
      <c r="A13" t="s">
        <v>32</v>
      </c>
      <c r="B13">
        <v>2458</v>
      </c>
      <c r="C13">
        <v>2213</v>
      </c>
      <c r="D13">
        <v>245</v>
      </c>
      <c r="AA13" t="s">
        <v>32</v>
      </c>
      <c r="AB13">
        <v>245</v>
      </c>
    </row>
    <row r="14" spans="1:28">
      <c r="A14" t="s">
        <v>33</v>
      </c>
      <c r="B14">
        <v>1442</v>
      </c>
      <c r="C14">
        <v>1074</v>
      </c>
      <c r="D14">
        <v>368</v>
      </c>
      <c r="AA14" t="s">
        <v>33</v>
      </c>
      <c r="AB14">
        <v>368</v>
      </c>
    </row>
    <row r="15" spans="1:28">
      <c r="A15" t="s">
        <v>34</v>
      </c>
      <c r="B15">
        <v>8370</v>
      </c>
      <c r="C15">
        <v>8370</v>
      </c>
      <c r="D15">
        <v>0</v>
      </c>
      <c r="AA15" t="s">
        <v>34</v>
      </c>
      <c r="AB15">
        <v>0</v>
      </c>
    </row>
    <row r="19" spans="1:2" ht="15">
      <c r="A19" s="1" t="s">
        <v>35</v>
      </c>
      <c r="B19" s="1" t="s">
        <v>36</v>
      </c>
    </row>
    <row r="20" spans="1:2">
      <c r="A20">
        <v>1992</v>
      </c>
      <c r="B20">
        <v>2014</v>
      </c>
    </row>
    <row r="21" spans="1:2">
      <c r="A21">
        <v>1997</v>
      </c>
      <c r="B21">
        <v>2</v>
      </c>
    </row>
    <row r="22" spans="1:2">
      <c r="A22">
        <v>1999</v>
      </c>
      <c r="B22">
        <v>1</v>
      </c>
    </row>
    <row r="23" spans="1:2">
      <c r="A23">
        <v>2000</v>
      </c>
      <c r="B23">
        <v>2</v>
      </c>
    </row>
    <row r="24" spans="1:2">
      <c r="A24">
        <v>2001</v>
      </c>
      <c r="B24">
        <v>8</v>
      </c>
    </row>
    <row r="25" spans="1:2">
      <c r="A25">
        <v>2003</v>
      </c>
      <c r="B25">
        <v>3</v>
      </c>
    </row>
    <row r="26" spans="1:2">
      <c r="A26">
        <v>2004</v>
      </c>
      <c r="B26">
        <v>9</v>
      </c>
    </row>
    <row r="27" spans="1:2">
      <c r="A27">
        <v>2005</v>
      </c>
      <c r="B27">
        <v>2621</v>
      </c>
    </row>
    <row r="28" spans="1:2">
      <c r="A28">
        <v>2006</v>
      </c>
      <c r="B28">
        <v>5706</v>
      </c>
    </row>
    <row r="29" spans="1:2">
      <c r="A29">
        <v>2007</v>
      </c>
      <c r="B29">
        <v>54</v>
      </c>
    </row>
    <row r="30" spans="1:2">
      <c r="A30">
        <v>2008</v>
      </c>
      <c r="B30">
        <v>286</v>
      </c>
    </row>
    <row r="31" spans="1:2">
      <c r="A31">
        <v>2009</v>
      </c>
      <c r="B31">
        <v>17</v>
      </c>
    </row>
    <row r="32" spans="1:2">
      <c r="A32">
        <v>2010</v>
      </c>
      <c r="B32">
        <v>25</v>
      </c>
    </row>
    <row r="33" spans="1:12">
      <c r="A33">
        <v>2011</v>
      </c>
      <c r="B33">
        <v>125</v>
      </c>
    </row>
    <row r="34" spans="1:12">
      <c r="A34">
        <v>2012</v>
      </c>
      <c r="B34">
        <v>9075</v>
      </c>
    </row>
    <row r="35" spans="1:12">
      <c r="A35">
        <v>2013</v>
      </c>
      <c r="B35">
        <v>182</v>
      </c>
    </row>
    <row r="36" spans="1:12">
      <c r="A36">
        <v>2014</v>
      </c>
      <c r="B36">
        <v>34</v>
      </c>
    </row>
    <row r="37" spans="1:12">
      <c r="A37">
        <v>2015</v>
      </c>
      <c r="B37">
        <v>84</v>
      </c>
    </row>
    <row r="38" spans="1:12">
      <c r="A38">
        <v>2016</v>
      </c>
      <c r="B38">
        <v>1166</v>
      </c>
    </row>
    <row r="39" spans="1:12">
      <c r="A39">
        <v>2017</v>
      </c>
      <c r="B39">
        <v>22</v>
      </c>
    </row>
    <row r="40" spans="1:12">
      <c r="A40">
        <v>2018</v>
      </c>
      <c r="B40">
        <v>106</v>
      </c>
    </row>
    <row r="41" spans="1:12">
      <c r="A41">
        <v>2019</v>
      </c>
      <c r="B41">
        <v>4369</v>
      </c>
    </row>
    <row r="42" spans="1:12">
      <c r="A42">
        <v>2020</v>
      </c>
      <c r="B42">
        <v>613</v>
      </c>
    </row>
    <row r="43" spans="1:12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</sheetData>
  <mergeCells count="2">
    <mergeCell ref="A1:L1"/>
    <mergeCell ref="A43:L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showGridLines="0" topLeftCell="A30" workbookViewId="0"/>
  </sheetViews>
  <sheetFormatPr baseColWidth="10" defaultColWidth="9" defaultRowHeight="14.25"/>
  <cols>
    <col min="1" max="8" width="20" customWidth="1"/>
    <col min="9" max="10" width="38.75" customWidth="1"/>
  </cols>
  <sheetData>
    <row r="1" spans="1:10" ht="15">
      <c r="A1" s="1" t="s">
        <v>16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5" t="s">
        <v>44</v>
      </c>
      <c r="J1" s="5" t="s">
        <v>45</v>
      </c>
    </row>
    <row r="2" spans="1:10">
      <c r="A2" t="s">
        <v>21</v>
      </c>
      <c r="B2" t="s">
        <v>46</v>
      </c>
      <c r="C2" t="s">
        <v>9</v>
      </c>
      <c r="D2" t="s">
        <v>10</v>
      </c>
      <c r="E2">
        <v>27672</v>
      </c>
      <c r="F2">
        <v>26958</v>
      </c>
      <c r="G2">
        <v>968</v>
      </c>
      <c r="H2">
        <v>9103</v>
      </c>
      <c r="I2" t="s">
        <v>47</v>
      </c>
      <c r="J2" t="s">
        <v>48</v>
      </c>
    </row>
    <row r="3" spans="1:10">
      <c r="A3" t="s">
        <v>23</v>
      </c>
      <c r="B3" t="s">
        <v>49</v>
      </c>
      <c r="C3" t="s">
        <v>50</v>
      </c>
      <c r="D3" t="s">
        <v>24</v>
      </c>
      <c r="E3">
        <v>7968</v>
      </c>
      <c r="F3">
        <v>7882</v>
      </c>
      <c r="G3">
        <v>968</v>
      </c>
      <c r="H3">
        <v>1000</v>
      </c>
      <c r="I3" t="s">
        <v>51</v>
      </c>
      <c r="J3" t="s">
        <v>52</v>
      </c>
    </row>
    <row r="4" spans="1:10">
      <c r="A4" t="s">
        <v>26</v>
      </c>
      <c r="B4" t="s">
        <v>53</v>
      </c>
      <c r="C4" t="s">
        <v>54</v>
      </c>
      <c r="D4" t="s">
        <v>27</v>
      </c>
      <c r="E4">
        <v>10684</v>
      </c>
      <c r="F4">
        <v>10229</v>
      </c>
      <c r="G4">
        <v>968</v>
      </c>
      <c r="H4">
        <v>1500</v>
      </c>
      <c r="I4" t="s">
        <v>55</v>
      </c>
      <c r="J4" t="s">
        <v>56</v>
      </c>
    </row>
    <row r="5" spans="1:10">
      <c r="A5" t="s">
        <v>29</v>
      </c>
      <c r="B5" t="s">
        <v>57</v>
      </c>
      <c r="C5" t="s">
        <v>58</v>
      </c>
      <c r="D5" t="s">
        <v>30</v>
      </c>
      <c r="E5">
        <v>12684</v>
      </c>
      <c r="F5">
        <v>12229</v>
      </c>
      <c r="G5">
        <v>968</v>
      </c>
      <c r="H5">
        <v>2000</v>
      </c>
      <c r="I5" t="s">
        <v>59</v>
      </c>
      <c r="J5" t="s">
        <v>60</v>
      </c>
    </row>
    <row r="9" spans="1:10" ht="15">
      <c r="A9" s="1" t="s">
        <v>16</v>
      </c>
      <c r="B9" s="1" t="s">
        <v>12</v>
      </c>
      <c r="C9" s="1" t="s">
        <v>17</v>
      </c>
      <c r="D9" s="1" t="s">
        <v>18</v>
      </c>
      <c r="E9" s="1" t="s">
        <v>61</v>
      </c>
      <c r="F9" s="1" t="s">
        <v>62</v>
      </c>
    </row>
    <row r="10" spans="1:10">
      <c r="A10" t="s">
        <v>21</v>
      </c>
      <c r="B10" t="s">
        <v>20</v>
      </c>
      <c r="C10">
        <v>968</v>
      </c>
      <c r="D10">
        <v>882</v>
      </c>
      <c r="E10">
        <v>86</v>
      </c>
      <c r="F10" s="6">
        <v>0.91115702479338845</v>
      </c>
    </row>
    <row r="11" spans="1:10">
      <c r="A11" t="s">
        <v>23</v>
      </c>
      <c r="B11" t="s">
        <v>20</v>
      </c>
      <c r="C11">
        <v>968</v>
      </c>
      <c r="D11">
        <v>882</v>
      </c>
      <c r="E11">
        <v>86</v>
      </c>
      <c r="F11" s="6">
        <v>0.91115702479338845</v>
      </c>
    </row>
    <row r="12" spans="1:10">
      <c r="A12" t="s">
        <v>26</v>
      </c>
      <c r="B12" t="s">
        <v>20</v>
      </c>
      <c r="C12">
        <v>968</v>
      </c>
      <c r="D12">
        <v>882</v>
      </c>
      <c r="E12">
        <v>86</v>
      </c>
      <c r="F12" s="6">
        <v>0.91115702479338845</v>
      </c>
    </row>
    <row r="13" spans="1:10">
      <c r="A13" t="s">
        <v>29</v>
      </c>
      <c r="B13" t="s">
        <v>20</v>
      </c>
      <c r="C13">
        <v>968</v>
      </c>
      <c r="D13">
        <v>882</v>
      </c>
      <c r="E13">
        <v>86</v>
      </c>
      <c r="F13" s="6">
        <v>0.91115702479338845</v>
      </c>
    </row>
    <row r="14" spans="1:10">
      <c r="A14" t="s">
        <v>21</v>
      </c>
      <c r="B14" t="s">
        <v>22</v>
      </c>
      <c r="C14">
        <v>1124</v>
      </c>
      <c r="D14">
        <v>1123</v>
      </c>
      <c r="E14">
        <v>1</v>
      </c>
      <c r="F14" s="6">
        <v>0.99911032028469748</v>
      </c>
    </row>
    <row r="15" spans="1:10">
      <c r="A15" t="s">
        <v>23</v>
      </c>
      <c r="B15" t="s">
        <v>22</v>
      </c>
      <c r="C15">
        <v>1000</v>
      </c>
      <c r="D15">
        <v>1000</v>
      </c>
      <c r="E15">
        <v>0</v>
      </c>
      <c r="F15" s="6">
        <v>1</v>
      </c>
    </row>
    <row r="16" spans="1:10">
      <c r="A16" t="s">
        <v>26</v>
      </c>
      <c r="B16" t="s">
        <v>22</v>
      </c>
      <c r="C16">
        <v>1124</v>
      </c>
      <c r="D16">
        <v>1123</v>
      </c>
      <c r="E16">
        <v>1</v>
      </c>
      <c r="F16" s="6">
        <v>0.99911032028469748</v>
      </c>
    </row>
    <row r="17" spans="1:6">
      <c r="A17" t="s">
        <v>29</v>
      </c>
      <c r="B17" t="s">
        <v>22</v>
      </c>
      <c r="C17">
        <v>1124</v>
      </c>
      <c r="D17">
        <v>1123</v>
      </c>
      <c r="E17">
        <v>1</v>
      </c>
      <c r="F17" s="6">
        <v>0.99911032028469748</v>
      </c>
    </row>
    <row r="18" spans="1:6">
      <c r="A18" t="s">
        <v>21</v>
      </c>
      <c r="B18" t="s">
        <v>25</v>
      </c>
      <c r="C18">
        <v>3057</v>
      </c>
      <c r="D18">
        <v>3057</v>
      </c>
      <c r="E18">
        <v>0</v>
      </c>
      <c r="F18" s="6">
        <v>1</v>
      </c>
    </row>
    <row r="19" spans="1:6">
      <c r="A19" t="s">
        <v>23</v>
      </c>
      <c r="B19" t="s">
        <v>25</v>
      </c>
      <c r="C19">
        <v>1000</v>
      </c>
      <c r="D19">
        <v>1000</v>
      </c>
      <c r="E19">
        <v>0</v>
      </c>
      <c r="F19" s="6">
        <v>1</v>
      </c>
    </row>
    <row r="20" spans="1:6">
      <c r="A20" t="s">
        <v>26</v>
      </c>
      <c r="B20" t="s">
        <v>25</v>
      </c>
      <c r="C20">
        <v>1500</v>
      </c>
      <c r="D20">
        <v>1500</v>
      </c>
      <c r="E20">
        <v>0</v>
      </c>
      <c r="F20" s="6">
        <v>1</v>
      </c>
    </row>
    <row r="21" spans="1:6">
      <c r="A21" t="s">
        <v>29</v>
      </c>
      <c r="B21" t="s">
        <v>25</v>
      </c>
      <c r="C21">
        <v>2000</v>
      </c>
      <c r="D21">
        <v>2000</v>
      </c>
      <c r="E21">
        <v>0</v>
      </c>
      <c r="F21" s="6">
        <v>1</v>
      </c>
    </row>
    <row r="22" spans="1:6">
      <c r="A22" t="s">
        <v>21</v>
      </c>
      <c r="B22" t="s">
        <v>28</v>
      </c>
      <c r="C22">
        <v>1150</v>
      </c>
      <c r="D22">
        <v>1150</v>
      </c>
      <c r="E22">
        <v>0</v>
      </c>
      <c r="F22" s="6">
        <v>1</v>
      </c>
    </row>
    <row r="23" spans="1:6">
      <c r="A23" t="s">
        <v>23</v>
      </c>
      <c r="B23" t="s">
        <v>28</v>
      </c>
      <c r="C23">
        <v>1000</v>
      </c>
      <c r="D23">
        <v>1000</v>
      </c>
      <c r="E23">
        <v>0</v>
      </c>
      <c r="F23" s="6">
        <v>1</v>
      </c>
    </row>
    <row r="24" spans="1:6">
      <c r="A24" t="s">
        <v>26</v>
      </c>
      <c r="B24" t="s">
        <v>28</v>
      </c>
      <c r="C24">
        <v>1150</v>
      </c>
      <c r="D24">
        <v>1150</v>
      </c>
      <c r="E24">
        <v>0</v>
      </c>
      <c r="F24" s="6">
        <v>1</v>
      </c>
    </row>
    <row r="25" spans="1:6">
      <c r="A25" t="s">
        <v>29</v>
      </c>
      <c r="B25" t="s">
        <v>28</v>
      </c>
      <c r="C25">
        <v>1150</v>
      </c>
      <c r="D25">
        <v>1150</v>
      </c>
      <c r="E25">
        <v>0</v>
      </c>
      <c r="F25" s="6">
        <v>1</v>
      </c>
    </row>
    <row r="26" spans="1:6">
      <c r="A26" t="s">
        <v>21</v>
      </c>
      <c r="B26" t="s">
        <v>31</v>
      </c>
      <c r="C26">
        <v>9103</v>
      </c>
      <c r="D26">
        <v>9089</v>
      </c>
      <c r="E26">
        <v>14</v>
      </c>
      <c r="F26" s="6">
        <v>0.99846204547951223</v>
      </c>
    </row>
    <row r="27" spans="1:6">
      <c r="A27" t="s">
        <v>23</v>
      </c>
      <c r="B27" t="s">
        <v>31</v>
      </c>
      <c r="C27">
        <v>1000</v>
      </c>
      <c r="D27">
        <v>1000</v>
      </c>
      <c r="E27">
        <v>0</v>
      </c>
      <c r="F27" s="6">
        <v>1</v>
      </c>
    </row>
    <row r="28" spans="1:6">
      <c r="A28" t="s">
        <v>26</v>
      </c>
      <c r="B28" t="s">
        <v>31</v>
      </c>
      <c r="C28">
        <v>1500</v>
      </c>
      <c r="D28">
        <v>1500</v>
      </c>
      <c r="E28">
        <v>0</v>
      </c>
      <c r="F28" s="6">
        <v>1</v>
      </c>
    </row>
    <row r="29" spans="1:6">
      <c r="A29" t="s">
        <v>29</v>
      </c>
      <c r="B29" t="s">
        <v>31</v>
      </c>
      <c r="C29">
        <v>2000</v>
      </c>
      <c r="D29">
        <v>2000</v>
      </c>
      <c r="E29">
        <v>0</v>
      </c>
      <c r="F29" s="6">
        <v>1</v>
      </c>
    </row>
    <row r="30" spans="1:6">
      <c r="A30" t="s">
        <v>21</v>
      </c>
      <c r="B30" t="s">
        <v>32</v>
      </c>
      <c r="C30">
        <v>2458</v>
      </c>
      <c r="D30">
        <v>2213</v>
      </c>
      <c r="E30">
        <v>245</v>
      </c>
      <c r="F30" s="6">
        <v>0.90032546786004886</v>
      </c>
    </row>
    <row r="31" spans="1:6">
      <c r="A31" t="s">
        <v>23</v>
      </c>
      <c r="B31" t="s">
        <v>32</v>
      </c>
      <c r="C31">
        <v>1000</v>
      </c>
      <c r="D31">
        <v>1000</v>
      </c>
      <c r="E31">
        <v>0</v>
      </c>
      <c r="F31" s="6">
        <v>1</v>
      </c>
    </row>
    <row r="32" spans="1:6">
      <c r="A32" t="s">
        <v>26</v>
      </c>
      <c r="B32" t="s">
        <v>32</v>
      </c>
      <c r="C32">
        <v>1500</v>
      </c>
      <c r="D32">
        <v>1500</v>
      </c>
      <c r="E32">
        <v>0</v>
      </c>
      <c r="F32" s="6">
        <v>1</v>
      </c>
    </row>
    <row r="33" spans="1:6">
      <c r="A33" t="s">
        <v>29</v>
      </c>
      <c r="B33" t="s">
        <v>32</v>
      </c>
      <c r="C33">
        <v>2000</v>
      </c>
      <c r="D33">
        <v>2000</v>
      </c>
      <c r="E33">
        <v>0</v>
      </c>
      <c r="F33" s="6">
        <v>1</v>
      </c>
    </row>
    <row r="34" spans="1:6">
      <c r="A34" t="s">
        <v>21</v>
      </c>
      <c r="B34" t="s">
        <v>33</v>
      </c>
      <c r="C34">
        <v>1442</v>
      </c>
      <c r="D34">
        <v>1074</v>
      </c>
      <c r="E34">
        <v>368</v>
      </c>
      <c r="F34" s="6">
        <v>0.74479889042995839</v>
      </c>
    </row>
    <row r="35" spans="1:6">
      <c r="A35" t="s">
        <v>23</v>
      </c>
      <c r="B35" t="s">
        <v>33</v>
      </c>
      <c r="C35">
        <v>1000</v>
      </c>
      <c r="D35">
        <v>1000</v>
      </c>
      <c r="E35">
        <v>0</v>
      </c>
      <c r="F35" s="6">
        <v>1</v>
      </c>
    </row>
    <row r="36" spans="1:6">
      <c r="A36" t="s">
        <v>26</v>
      </c>
      <c r="B36" t="s">
        <v>33</v>
      </c>
      <c r="C36">
        <v>1442</v>
      </c>
      <c r="D36">
        <v>1074</v>
      </c>
      <c r="E36">
        <v>368</v>
      </c>
      <c r="F36" s="6">
        <v>0.74479889042995839</v>
      </c>
    </row>
    <row r="37" spans="1:6">
      <c r="A37" t="s">
        <v>29</v>
      </c>
      <c r="B37" t="s">
        <v>33</v>
      </c>
      <c r="C37">
        <v>1442</v>
      </c>
      <c r="D37">
        <v>1074</v>
      </c>
      <c r="E37">
        <v>368</v>
      </c>
      <c r="F37" s="6">
        <v>0.74479889042995839</v>
      </c>
    </row>
    <row r="38" spans="1:6">
      <c r="A38" t="s">
        <v>21</v>
      </c>
      <c r="B38" t="s">
        <v>34</v>
      </c>
      <c r="C38">
        <v>8370</v>
      </c>
      <c r="D38">
        <v>8370</v>
      </c>
      <c r="E38">
        <v>0</v>
      </c>
      <c r="F38" s="6">
        <v>1</v>
      </c>
    </row>
    <row r="39" spans="1:6">
      <c r="A39" t="s">
        <v>23</v>
      </c>
      <c r="B39" t="s">
        <v>34</v>
      </c>
      <c r="C39">
        <v>1000</v>
      </c>
      <c r="D39">
        <v>1000</v>
      </c>
      <c r="E39">
        <v>0</v>
      </c>
      <c r="F39" s="6">
        <v>1</v>
      </c>
    </row>
    <row r="40" spans="1:6">
      <c r="A40" t="s">
        <v>26</v>
      </c>
      <c r="B40" t="s">
        <v>34</v>
      </c>
      <c r="C40">
        <v>1500</v>
      </c>
      <c r="D40">
        <v>1500</v>
      </c>
      <c r="E40">
        <v>0</v>
      </c>
      <c r="F40" s="6">
        <v>1</v>
      </c>
    </row>
    <row r="41" spans="1:6">
      <c r="A41" t="s">
        <v>29</v>
      </c>
      <c r="B41" t="s">
        <v>34</v>
      </c>
      <c r="C41">
        <v>2000</v>
      </c>
      <c r="D41">
        <v>2000</v>
      </c>
      <c r="E41">
        <v>0</v>
      </c>
      <c r="F41" s="6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showGridLines="0" topLeftCell="A27" workbookViewId="0"/>
  </sheetViews>
  <sheetFormatPr baseColWidth="10" defaultColWidth="9" defaultRowHeight="14.25"/>
  <cols>
    <col min="1" max="11" width="18.75" customWidth="1"/>
  </cols>
  <sheetData>
    <row r="1" spans="1:11" ht="15">
      <c r="A1" s="1" t="s">
        <v>12</v>
      </c>
      <c r="B1" s="1" t="s">
        <v>13</v>
      </c>
      <c r="C1" s="1" t="s">
        <v>3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>
      <c r="A2" t="s">
        <v>20</v>
      </c>
      <c r="B2">
        <v>968</v>
      </c>
      <c r="C2">
        <v>882</v>
      </c>
      <c r="D2">
        <v>86</v>
      </c>
      <c r="E2" s="6">
        <v>0.91115702479338845</v>
      </c>
      <c r="F2" t="s">
        <v>71</v>
      </c>
      <c r="G2" t="s">
        <v>72</v>
      </c>
      <c r="H2" t="s">
        <v>73</v>
      </c>
      <c r="I2" t="s">
        <v>74</v>
      </c>
      <c r="J2" s="7">
        <v>64.78</v>
      </c>
      <c r="K2" s="7">
        <v>69.12</v>
      </c>
    </row>
    <row r="3" spans="1:11">
      <c r="A3" t="s">
        <v>22</v>
      </c>
      <c r="B3">
        <v>1124</v>
      </c>
      <c r="C3">
        <v>1123</v>
      </c>
      <c r="D3">
        <v>1</v>
      </c>
      <c r="E3" s="6">
        <v>0.99911032028469748</v>
      </c>
      <c r="F3" t="s">
        <v>71</v>
      </c>
      <c r="G3" t="s">
        <v>75</v>
      </c>
      <c r="H3" t="s">
        <v>76</v>
      </c>
      <c r="I3" t="s">
        <v>74</v>
      </c>
      <c r="J3" s="7">
        <v>70.48</v>
      </c>
      <c r="K3" s="7">
        <v>68.12</v>
      </c>
    </row>
    <row r="4" spans="1:11">
      <c r="A4" t="s">
        <v>25</v>
      </c>
      <c r="B4">
        <v>3057</v>
      </c>
      <c r="C4">
        <v>3057</v>
      </c>
      <c r="D4">
        <v>0</v>
      </c>
      <c r="E4" s="6">
        <v>1</v>
      </c>
      <c r="F4" t="s">
        <v>77</v>
      </c>
      <c r="G4" t="s">
        <v>78</v>
      </c>
      <c r="H4" t="s">
        <v>76</v>
      </c>
      <c r="I4" t="s">
        <v>74</v>
      </c>
      <c r="J4" s="7">
        <v>69.239999999999995</v>
      </c>
      <c r="K4" s="7">
        <v>67.650000000000006</v>
      </c>
    </row>
    <row r="5" spans="1:11">
      <c r="A5" t="s">
        <v>28</v>
      </c>
      <c r="B5">
        <v>1150</v>
      </c>
      <c r="C5">
        <v>1150</v>
      </c>
      <c r="D5">
        <v>0</v>
      </c>
      <c r="E5" s="6">
        <v>1</v>
      </c>
      <c r="F5" t="s">
        <v>79</v>
      </c>
      <c r="G5" t="s">
        <v>79</v>
      </c>
      <c r="H5" t="s">
        <v>80</v>
      </c>
      <c r="I5" t="s">
        <v>75</v>
      </c>
      <c r="J5" s="7">
        <v>70.650000000000006</v>
      </c>
      <c r="K5" s="7">
        <v>70.59</v>
      </c>
    </row>
    <row r="6" spans="1:11">
      <c r="A6" t="s">
        <v>31</v>
      </c>
      <c r="B6">
        <v>9103</v>
      </c>
      <c r="C6">
        <v>9089</v>
      </c>
      <c r="D6">
        <v>14</v>
      </c>
      <c r="E6" s="6">
        <v>0.99846204547951223</v>
      </c>
      <c r="F6" t="s">
        <v>71</v>
      </c>
      <c r="G6" t="s">
        <v>72</v>
      </c>
      <c r="H6" t="s">
        <v>81</v>
      </c>
      <c r="I6" t="s">
        <v>74</v>
      </c>
      <c r="J6" s="7">
        <v>52.09</v>
      </c>
      <c r="K6" s="7">
        <v>51.47</v>
      </c>
    </row>
    <row r="7" spans="1:11">
      <c r="A7" t="s">
        <v>32</v>
      </c>
      <c r="B7">
        <v>2458</v>
      </c>
      <c r="C7">
        <v>2213</v>
      </c>
      <c r="D7">
        <v>245</v>
      </c>
      <c r="E7" s="6">
        <v>0.90032546786004886</v>
      </c>
      <c r="F7" t="s">
        <v>71</v>
      </c>
      <c r="G7" t="s">
        <v>72</v>
      </c>
      <c r="H7" t="s">
        <v>82</v>
      </c>
      <c r="I7" t="s">
        <v>74</v>
      </c>
      <c r="J7" s="7">
        <v>70.67</v>
      </c>
      <c r="K7" s="7">
        <v>72.31</v>
      </c>
    </row>
    <row r="8" spans="1:11">
      <c r="A8" t="s">
        <v>33</v>
      </c>
      <c r="B8">
        <v>1442</v>
      </c>
      <c r="C8">
        <v>1074</v>
      </c>
      <c r="D8">
        <v>368</v>
      </c>
      <c r="E8" s="6">
        <v>0.74479889042995839</v>
      </c>
      <c r="F8" t="s">
        <v>83</v>
      </c>
      <c r="G8" t="s">
        <v>84</v>
      </c>
      <c r="H8" t="s">
        <v>82</v>
      </c>
      <c r="I8" t="s">
        <v>74</v>
      </c>
      <c r="J8" s="7">
        <v>57.76</v>
      </c>
      <c r="K8" s="7">
        <v>61.76</v>
      </c>
    </row>
    <row r="9" spans="1:11">
      <c r="A9" t="s">
        <v>34</v>
      </c>
      <c r="B9">
        <v>8370</v>
      </c>
      <c r="C9">
        <v>8370</v>
      </c>
      <c r="D9">
        <v>0</v>
      </c>
      <c r="E9" s="6">
        <v>1</v>
      </c>
      <c r="F9" t="s">
        <v>85</v>
      </c>
      <c r="G9" t="s">
        <v>86</v>
      </c>
      <c r="H9" t="s">
        <v>82</v>
      </c>
      <c r="I9" t="s">
        <v>87</v>
      </c>
      <c r="J9" s="7">
        <v>77.290000000000006</v>
      </c>
      <c r="K9" s="7">
        <v>76.81</v>
      </c>
    </row>
    <row r="10" spans="1:11">
      <c r="E10" s="6"/>
      <c r="J10" s="7"/>
      <c r="K10" s="7"/>
    </row>
    <row r="11" spans="1:11">
      <c r="E11" s="6"/>
      <c r="J11" s="7"/>
      <c r="K11" s="7"/>
    </row>
    <row r="12" spans="1:11">
      <c r="E12" s="6"/>
      <c r="J12" s="7"/>
      <c r="K12" s="7"/>
    </row>
    <row r="13" spans="1:11" ht="15">
      <c r="A13" s="1" t="s">
        <v>35</v>
      </c>
      <c r="B13" s="1" t="s">
        <v>36</v>
      </c>
      <c r="E13" s="6"/>
      <c r="J13" s="7"/>
      <c r="K13" s="7"/>
    </row>
    <row r="14" spans="1:11">
      <c r="A14">
        <v>1992</v>
      </c>
      <c r="B14">
        <v>2014</v>
      </c>
      <c r="E14" s="6"/>
      <c r="J14" s="7"/>
      <c r="K14" s="7"/>
    </row>
    <row r="15" spans="1:11">
      <c r="A15">
        <v>1997</v>
      </c>
      <c r="B15">
        <v>2</v>
      </c>
      <c r="E15" s="6"/>
      <c r="J15" s="7"/>
      <c r="K15" s="7"/>
    </row>
    <row r="16" spans="1:11">
      <c r="A16">
        <v>1999</v>
      </c>
      <c r="B16">
        <v>1</v>
      </c>
      <c r="E16" s="6"/>
      <c r="J16" s="7"/>
      <c r="K16" s="7"/>
    </row>
    <row r="17" spans="1:11">
      <c r="A17">
        <v>2000</v>
      </c>
      <c r="B17">
        <v>2</v>
      </c>
      <c r="E17" s="6"/>
      <c r="J17" s="7"/>
      <c r="K17" s="7"/>
    </row>
    <row r="18" spans="1:11">
      <c r="A18">
        <v>2001</v>
      </c>
      <c r="B18">
        <v>8</v>
      </c>
      <c r="E18" s="6"/>
      <c r="J18" s="7"/>
      <c r="K18" s="7"/>
    </row>
    <row r="19" spans="1:11">
      <c r="A19">
        <v>2003</v>
      </c>
      <c r="B19">
        <v>3</v>
      </c>
      <c r="E19" s="6"/>
      <c r="J19" s="7"/>
      <c r="K19" s="7"/>
    </row>
    <row r="20" spans="1:11">
      <c r="A20">
        <v>2004</v>
      </c>
      <c r="B20">
        <v>9</v>
      </c>
      <c r="E20" s="6"/>
      <c r="J20" s="7"/>
      <c r="K20" s="7"/>
    </row>
    <row r="21" spans="1:11">
      <c r="A21">
        <v>2005</v>
      </c>
      <c r="B21">
        <v>2621</v>
      </c>
    </row>
    <row r="22" spans="1:11">
      <c r="A22">
        <v>2006</v>
      </c>
      <c r="B22">
        <v>5706</v>
      </c>
    </row>
    <row r="23" spans="1:11">
      <c r="A23">
        <v>2007</v>
      </c>
      <c r="B23">
        <v>54</v>
      </c>
    </row>
    <row r="24" spans="1:11">
      <c r="A24">
        <v>2008</v>
      </c>
      <c r="B24">
        <v>286</v>
      </c>
    </row>
    <row r="25" spans="1:11">
      <c r="A25">
        <v>2009</v>
      </c>
      <c r="B25">
        <v>17</v>
      </c>
    </row>
    <row r="26" spans="1:11">
      <c r="A26">
        <v>2010</v>
      </c>
      <c r="B26">
        <v>25</v>
      </c>
    </row>
    <row r="27" spans="1:11">
      <c r="A27">
        <v>2011</v>
      </c>
      <c r="B27">
        <v>125</v>
      </c>
    </row>
    <row r="28" spans="1:11">
      <c r="A28">
        <v>2012</v>
      </c>
      <c r="B28">
        <v>9075</v>
      </c>
    </row>
    <row r="29" spans="1:11">
      <c r="A29">
        <v>2013</v>
      </c>
      <c r="B29">
        <v>182</v>
      </c>
    </row>
    <row r="30" spans="1:11">
      <c r="A30">
        <v>2014</v>
      </c>
      <c r="B30">
        <v>34</v>
      </c>
    </row>
    <row r="31" spans="1:11">
      <c r="A31">
        <v>2015</v>
      </c>
      <c r="B31">
        <v>84</v>
      </c>
    </row>
    <row r="32" spans="1:11">
      <c r="A32">
        <v>2016</v>
      </c>
      <c r="B32">
        <v>1166</v>
      </c>
    </row>
    <row r="33" spans="1:2">
      <c r="A33">
        <v>2017</v>
      </c>
      <c r="B33">
        <v>22</v>
      </c>
    </row>
    <row r="34" spans="1:2">
      <c r="A34">
        <v>2018</v>
      </c>
      <c r="B34">
        <v>106</v>
      </c>
    </row>
    <row r="35" spans="1:2">
      <c r="A35">
        <v>2019</v>
      </c>
      <c r="B35">
        <v>4369</v>
      </c>
    </row>
    <row r="36" spans="1:2">
      <c r="A36">
        <v>2020</v>
      </c>
      <c r="B36">
        <v>613</v>
      </c>
    </row>
    <row r="37" spans="1:2">
      <c r="A37">
        <v>2021</v>
      </c>
      <c r="B37">
        <v>428</v>
      </c>
    </row>
    <row r="38" spans="1:2">
      <c r="A38">
        <v>2023</v>
      </c>
      <c r="B38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showGridLines="0" topLeftCell="A27" workbookViewId="0"/>
  </sheetViews>
  <sheetFormatPr baseColWidth="10" defaultColWidth="9" defaultRowHeight="14.25"/>
  <cols>
    <col min="1" max="7" width="20.625" customWidth="1"/>
    <col min="8" max="9" width="37.5" customWidth="1"/>
  </cols>
  <sheetData>
    <row r="1" spans="1:9" ht="15">
      <c r="A1" s="1" t="s">
        <v>16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19</v>
      </c>
      <c r="H1" s="5" t="s">
        <v>221</v>
      </c>
      <c r="I1" s="5" t="s">
        <v>45</v>
      </c>
    </row>
    <row r="2" spans="1:9">
      <c r="A2" t="s">
        <v>21</v>
      </c>
      <c r="B2" t="s">
        <v>93</v>
      </c>
      <c r="C2">
        <v>26958</v>
      </c>
      <c r="D2">
        <v>18868</v>
      </c>
      <c r="E2">
        <v>4040</v>
      </c>
      <c r="F2">
        <v>4050</v>
      </c>
      <c r="G2" t="s">
        <v>10</v>
      </c>
      <c r="H2" t="s">
        <v>94</v>
      </c>
      <c r="I2" t="s">
        <v>48</v>
      </c>
    </row>
    <row r="3" spans="1:9">
      <c r="A3" t="s">
        <v>23</v>
      </c>
      <c r="B3" t="s">
        <v>95</v>
      </c>
      <c r="C3">
        <v>7882</v>
      </c>
      <c r="D3">
        <v>5517</v>
      </c>
      <c r="E3">
        <v>1182</v>
      </c>
      <c r="F3">
        <v>1183</v>
      </c>
      <c r="G3" t="s">
        <v>24</v>
      </c>
      <c r="H3" t="s">
        <v>94</v>
      </c>
      <c r="I3" t="s">
        <v>52</v>
      </c>
    </row>
    <row r="4" spans="1:9">
      <c r="A4" t="s">
        <v>26</v>
      </c>
      <c r="B4" t="s">
        <v>96</v>
      </c>
      <c r="C4">
        <v>10229</v>
      </c>
      <c r="D4">
        <v>7159</v>
      </c>
      <c r="E4">
        <v>1533</v>
      </c>
      <c r="F4">
        <v>1537</v>
      </c>
      <c r="G4" t="s">
        <v>27</v>
      </c>
      <c r="H4" t="s">
        <v>94</v>
      </c>
      <c r="I4" t="s">
        <v>56</v>
      </c>
    </row>
    <row r="5" spans="1:9">
      <c r="A5" t="s">
        <v>29</v>
      </c>
      <c r="B5" t="s">
        <v>97</v>
      </c>
      <c r="C5">
        <v>12229</v>
      </c>
      <c r="D5">
        <v>8559</v>
      </c>
      <c r="E5">
        <v>1833</v>
      </c>
      <c r="F5">
        <v>1837</v>
      </c>
      <c r="G5" t="s">
        <v>30</v>
      </c>
      <c r="H5" t="s">
        <v>94</v>
      </c>
      <c r="I5" t="s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topLeftCell="A21" workbookViewId="0"/>
  </sheetViews>
  <sheetFormatPr baseColWidth="10" defaultColWidth="9" defaultRowHeight="14.25"/>
  <cols>
    <col min="1" max="3" width="35.625" customWidth="1"/>
  </cols>
  <sheetData>
    <row r="1" spans="1:3" ht="15">
      <c r="A1" s="10" t="s">
        <v>98</v>
      </c>
      <c r="B1" s="11" t="s">
        <v>99</v>
      </c>
      <c r="C1" s="11" t="s">
        <v>100</v>
      </c>
    </row>
    <row r="2" spans="1:3">
      <c r="A2" t="s">
        <v>101</v>
      </c>
      <c r="B2" t="s">
        <v>102</v>
      </c>
      <c r="C2" t="s">
        <v>103</v>
      </c>
    </row>
    <row r="3" spans="1:3">
      <c r="A3" t="s">
        <v>104</v>
      </c>
      <c r="B3" t="s">
        <v>105</v>
      </c>
      <c r="C3" t="s">
        <v>106</v>
      </c>
    </row>
    <row r="4" spans="1:3">
      <c r="A4" t="s">
        <v>107</v>
      </c>
      <c r="B4" t="s">
        <v>108</v>
      </c>
      <c r="C4" t="s">
        <v>109</v>
      </c>
    </row>
    <row r="5" spans="1:3">
      <c r="A5" t="s">
        <v>110</v>
      </c>
      <c r="B5" t="s">
        <v>111</v>
      </c>
      <c r="C5" t="s">
        <v>112</v>
      </c>
    </row>
    <row r="6" spans="1:3">
      <c r="A6" t="s">
        <v>113</v>
      </c>
      <c r="B6" t="s">
        <v>114</v>
      </c>
      <c r="C6" t="s">
        <v>115</v>
      </c>
    </row>
    <row r="7" spans="1:3">
      <c r="A7" t="s">
        <v>116</v>
      </c>
      <c r="B7" t="s">
        <v>117</v>
      </c>
      <c r="C7" t="s">
        <v>118</v>
      </c>
    </row>
    <row r="8" spans="1:3">
      <c r="A8" t="s">
        <v>119</v>
      </c>
      <c r="B8" t="s">
        <v>120</v>
      </c>
      <c r="C8" t="s">
        <v>121</v>
      </c>
    </row>
    <row r="9" spans="1:3">
      <c r="A9" t="s">
        <v>122</v>
      </c>
      <c r="B9" t="s">
        <v>26</v>
      </c>
      <c r="C9" t="s">
        <v>123</v>
      </c>
    </row>
    <row r="10" spans="1:3">
      <c r="A10" t="s">
        <v>124</v>
      </c>
      <c r="B10" t="s">
        <v>23</v>
      </c>
      <c r="C10" t="s">
        <v>125</v>
      </c>
    </row>
    <row r="11" spans="1:3">
      <c r="A11" t="s">
        <v>126</v>
      </c>
      <c r="B11" t="s">
        <v>127</v>
      </c>
      <c r="C11" t="s">
        <v>128</v>
      </c>
    </row>
    <row r="12" spans="1:3">
      <c r="A12" t="s">
        <v>129</v>
      </c>
      <c r="B12" t="s">
        <v>130</v>
      </c>
      <c r="C12" t="s">
        <v>131</v>
      </c>
    </row>
    <row r="13" spans="1:3">
      <c r="A13" t="s">
        <v>132</v>
      </c>
      <c r="B13" t="s">
        <v>133</v>
      </c>
      <c r="C13" t="s">
        <v>134</v>
      </c>
    </row>
    <row r="14" spans="1:3">
      <c r="A14" t="s">
        <v>135</v>
      </c>
      <c r="B14" t="s">
        <v>136</v>
      </c>
      <c r="C14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showGridLines="0" workbookViewId="0">
      <selection activeCell="K24" sqref="K24"/>
    </sheetView>
  </sheetViews>
  <sheetFormatPr baseColWidth="10" defaultColWidth="9" defaultRowHeight="14.25"/>
  <cols>
    <col min="1" max="10" width="18.75" customWidth="1"/>
    <col min="11" max="13" width="35" customWidth="1"/>
    <col min="14" max="14" width="77.5" bestFit="1" customWidth="1"/>
  </cols>
  <sheetData>
    <row r="1" spans="1:20" ht="20.25">
      <c r="A1" s="15" t="s">
        <v>138</v>
      </c>
      <c r="B1" s="13"/>
      <c r="C1" s="13"/>
      <c r="D1" s="13"/>
      <c r="E1" s="13"/>
      <c r="F1" s="13"/>
      <c r="G1" s="13"/>
      <c r="H1" s="13"/>
      <c r="I1" s="13"/>
      <c r="J1" s="13"/>
      <c r="K1" s="16"/>
      <c r="L1" s="16"/>
      <c r="M1" s="16"/>
      <c r="N1" s="9"/>
    </row>
    <row r="2" spans="1:20" ht="30">
      <c r="A2" s="8" t="s">
        <v>139</v>
      </c>
      <c r="B2" s="8" t="s">
        <v>140</v>
      </c>
      <c r="C2" s="8" t="s">
        <v>141</v>
      </c>
      <c r="D2" s="8" t="s">
        <v>142</v>
      </c>
      <c r="E2" s="8" t="s">
        <v>143</v>
      </c>
      <c r="F2" s="8" t="s">
        <v>144</v>
      </c>
    </row>
    <row r="4" spans="1:20" ht="15">
      <c r="A4" s="1" t="s">
        <v>12</v>
      </c>
      <c r="B4" s="1" t="s">
        <v>89</v>
      </c>
      <c r="C4" s="1" t="s">
        <v>145</v>
      </c>
      <c r="D4" s="1" t="s">
        <v>146</v>
      </c>
      <c r="E4" s="1" t="s">
        <v>147</v>
      </c>
      <c r="F4" s="1" t="s">
        <v>218</v>
      </c>
      <c r="G4" s="1" t="s">
        <v>219</v>
      </c>
      <c r="H4" s="1" t="s">
        <v>220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153</v>
      </c>
      <c r="Q4" t="s">
        <v>12</v>
      </c>
      <c r="R4" t="s">
        <v>145</v>
      </c>
      <c r="S4" t="s">
        <v>146</v>
      </c>
      <c r="T4" t="s">
        <v>147</v>
      </c>
    </row>
    <row r="5" spans="1:20">
      <c r="A5" t="s">
        <v>20</v>
      </c>
      <c r="B5">
        <v>882</v>
      </c>
      <c r="C5">
        <v>617</v>
      </c>
      <c r="D5">
        <v>132</v>
      </c>
      <c r="E5">
        <v>133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  <c r="M5" t="s">
        <v>161</v>
      </c>
      <c r="N5" t="s">
        <v>162</v>
      </c>
      <c r="Q5" t="s">
        <v>20</v>
      </c>
      <c r="R5">
        <v>617</v>
      </c>
      <c r="S5">
        <v>132</v>
      </c>
      <c r="T5">
        <v>133</v>
      </c>
    </row>
    <row r="6" spans="1:20">
      <c r="A6" t="s">
        <v>22</v>
      </c>
      <c r="B6">
        <v>1123</v>
      </c>
      <c r="C6">
        <v>786</v>
      </c>
      <c r="D6">
        <v>168</v>
      </c>
      <c r="E6">
        <v>169</v>
      </c>
      <c r="F6" t="s">
        <v>163</v>
      </c>
      <c r="G6" t="s">
        <v>164</v>
      </c>
      <c r="H6" t="s">
        <v>165</v>
      </c>
      <c r="I6" t="s">
        <v>78</v>
      </c>
      <c r="J6" t="s">
        <v>78</v>
      </c>
      <c r="K6" t="s">
        <v>166</v>
      </c>
      <c r="L6" t="s">
        <v>167</v>
      </c>
      <c r="M6" t="s">
        <v>168</v>
      </c>
      <c r="N6" t="s">
        <v>162</v>
      </c>
      <c r="Q6" t="s">
        <v>22</v>
      </c>
      <c r="R6">
        <v>786</v>
      </c>
      <c r="S6">
        <v>168</v>
      </c>
      <c r="T6">
        <v>169</v>
      </c>
    </row>
    <row r="7" spans="1:20">
      <c r="A7" t="s">
        <v>25</v>
      </c>
      <c r="B7">
        <v>3057</v>
      </c>
      <c r="C7">
        <v>2139</v>
      </c>
      <c r="D7">
        <v>458</v>
      </c>
      <c r="E7">
        <v>460</v>
      </c>
      <c r="F7" t="s">
        <v>164</v>
      </c>
      <c r="G7" t="s">
        <v>164</v>
      </c>
      <c r="H7" t="s">
        <v>164</v>
      </c>
      <c r="I7" t="s">
        <v>77</v>
      </c>
      <c r="J7" t="s">
        <v>78</v>
      </c>
      <c r="K7" t="s">
        <v>169</v>
      </c>
      <c r="L7" t="s">
        <v>170</v>
      </c>
      <c r="M7" t="s">
        <v>167</v>
      </c>
      <c r="N7" t="s">
        <v>162</v>
      </c>
      <c r="Q7" t="s">
        <v>25</v>
      </c>
      <c r="R7">
        <v>2139</v>
      </c>
      <c r="S7">
        <v>458</v>
      </c>
      <c r="T7">
        <v>460</v>
      </c>
    </row>
    <row r="8" spans="1:20">
      <c r="A8" t="s">
        <v>28</v>
      </c>
      <c r="B8">
        <v>1150</v>
      </c>
      <c r="C8">
        <v>805</v>
      </c>
      <c r="D8">
        <v>172</v>
      </c>
      <c r="E8">
        <v>173</v>
      </c>
      <c r="F8" t="s">
        <v>171</v>
      </c>
      <c r="G8" t="s">
        <v>171</v>
      </c>
      <c r="H8" t="s">
        <v>171</v>
      </c>
      <c r="I8" t="s">
        <v>79</v>
      </c>
      <c r="J8" t="s">
        <v>79</v>
      </c>
      <c r="K8" t="s">
        <v>172</v>
      </c>
      <c r="L8" t="s">
        <v>172</v>
      </c>
      <c r="M8" t="s">
        <v>172</v>
      </c>
      <c r="N8" t="s">
        <v>162</v>
      </c>
      <c r="Q8" t="s">
        <v>28</v>
      </c>
      <c r="R8">
        <v>805</v>
      </c>
      <c r="S8">
        <v>172</v>
      </c>
      <c r="T8">
        <v>173</v>
      </c>
    </row>
    <row r="9" spans="1:20">
      <c r="A9" t="s">
        <v>31</v>
      </c>
      <c r="B9">
        <v>9089</v>
      </c>
      <c r="C9">
        <v>6362</v>
      </c>
      <c r="D9">
        <v>1363</v>
      </c>
      <c r="E9">
        <v>1364</v>
      </c>
      <c r="F9" t="s">
        <v>154</v>
      </c>
      <c r="G9" t="s">
        <v>173</v>
      </c>
      <c r="H9" t="s">
        <v>174</v>
      </c>
      <c r="I9" t="s">
        <v>175</v>
      </c>
      <c r="J9" t="s">
        <v>175</v>
      </c>
      <c r="K9" t="s">
        <v>176</v>
      </c>
      <c r="L9" t="s">
        <v>177</v>
      </c>
      <c r="M9" t="s">
        <v>178</v>
      </c>
      <c r="N9" t="s">
        <v>162</v>
      </c>
      <c r="Q9" t="s">
        <v>31</v>
      </c>
      <c r="R9">
        <v>6362</v>
      </c>
      <c r="S9">
        <v>1363</v>
      </c>
      <c r="T9">
        <v>1364</v>
      </c>
    </row>
    <row r="10" spans="1:20">
      <c r="A10" t="s">
        <v>32</v>
      </c>
      <c r="B10">
        <v>2213</v>
      </c>
      <c r="C10">
        <v>1549</v>
      </c>
      <c r="D10">
        <v>331</v>
      </c>
      <c r="E10">
        <v>333</v>
      </c>
      <c r="F10" t="s">
        <v>179</v>
      </c>
      <c r="G10" t="s">
        <v>179</v>
      </c>
      <c r="H10" t="s">
        <v>180</v>
      </c>
      <c r="I10" t="s">
        <v>71</v>
      </c>
      <c r="J10" t="s">
        <v>71</v>
      </c>
      <c r="K10" t="s">
        <v>181</v>
      </c>
      <c r="L10" t="s">
        <v>181</v>
      </c>
      <c r="M10" t="s">
        <v>182</v>
      </c>
      <c r="N10" t="s">
        <v>162</v>
      </c>
      <c r="Q10" t="s">
        <v>32</v>
      </c>
      <c r="R10">
        <v>1549</v>
      </c>
      <c r="S10">
        <v>331</v>
      </c>
      <c r="T10">
        <v>333</v>
      </c>
    </row>
    <row r="11" spans="1:20">
      <c r="A11" t="s">
        <v>33</v>
      </c>
      <c r="B11">
        <v>1074</v>
      </c>
      <c r="C11">
        <v>751</v>
      </c>
      <c r="D11">
        <v>161</v>
      </c>
      <c r="E11">
        <v>162</v>
      </c>
      <c r="F11" t="s">
        <v>183</v>
      </c>
      <c r="G11" t="s">
        <v>184</v>
      </c>
      <c r="H11" t="s">
        <v>185</v>
      </c>
      <c r="I11" t="s">
        <v>186</v>
      </c>
      <c r="J11" t="s">
        <v>186</v>
      </c>
      <c r="K11" t="s">
        <v>187</v>
      </c>
      <c r="L11" t="s">
        <v>188</v>
      </c>
      <c r="M11" t="s">
        <v>189</v>
      </c>
      <c r="N11" t="s">
        <v>162</v>
      </c>
      <c r="Q11" t="s">
        <v>33</v>
      </c>
      <c r="R11">
        <v>751</v>
      </c>
      <c r="S11">
        <v>161</v>
      </c>
      <c r="T11">
        <v>162</v>
      </c>
    </row>
    <row r="12" spans="1:20">
      <c r="A12" t="s">
        <v>34</v>
      </c>
      <c r="B12">
        <v>8370</v>
      </c>
      <c r="C12">
        <v>5859</v>
      </c>
      <c r="D12">
        <v>1255</v>
      </c>
      <c r="E12">
        <v>1256</v>
      </c>
      <c r="F12" t="s">
        <v>190</v>
      </c>
      <c r="G12" t="s">
        <v>191</v>
      </c>
      <c r="H12" t="s">
        <v>192</v>
      </c>
      <c r="I12" t="s">
        <v>193</v>
      </c>
      <c r="J12" t="s">
        <v>193</v>
      </c>
      <c r="K12" t="s">
        <v>194</v>
      </c>
      <c r="L12" t="s">
        <v>195</v>
      </c>
      <c r="M12" t="s">
        <v>196</v>
      </c>
      <c r="N12" t="s">
        <v>162</v>
      </c>
      <c r="Q12" t="s">
        <v>34</v>
      </c>
      <c r="R12">
        <v>5859</v>
      </c>
      <c r="S12">
        <v>1255</v>
      </c>
      <c r="T12">
        <v>1256</v>
      </c>
    </row>
    <row r="14" spans="1:20" ht="15">
      <c r="A14" s="4" t="s">
        <v>13</v>
      </c>
      <c r="B14" s="4">
        <v>26958</v>
      </c>
      <c r="C14" s="4">
        <v>18868</v>
      </c>
      <c r="D14" s="4">
        <v>4040</v>
      </c>
      <c r="E14" s="4">
        <v>4050</v>
      </c>
    </row>
  </sheetData>
  <mergeCells count="1"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1"/>
  <sheetViews>
    <sheetView showGridLines="0" workbookViewId="0">
      <selection activeCell="I21" sqref="I21"/>
    </sheetView>
  </sheetViews>
  <sheetFormatPr baseColWidth="10" defaultColWidth="9" defaultRowHeight="14.25"/>
  <cols>
    <col min="1" max="10" width="18.75" customWidth="1"/>
    <col min="11" max="13" width="35" customWidth="1"/>
    <col min="14" max="14" width="77.5" bestFit="1" customWidth="1"/>
  </cols>
  <sheetData>
    <row r="1" spans="1:20" ht="20.25">
      <c r="A1" s="15" t="s">
        <v>197</v>
      </c>
      <c r="B1" s="13"/>
      <c r="C1" s="13"/>
      <c r="D1" s="13"/>
      <c r="E1" s="13"/>
      <c r="F1" s="13"/>
      <c r="G1" s="13"/>
      <c r="H1" s="13"/>
      <c r="I1" s="13"/>
      <c r="J1" s="13"/>
      <c r="K1" s="16"/>
      <c r="L1" s="16"/>
      <c r="M1" s="16"/>
      <c r="N1" s="9"/>
    </row>
    <row r="2" spans="1:20" ht="30">
      <c r="A2" s="8" t="s">
        <v>198</v>
      </c>
      <c r="B2" s="8" t="s">
        <v>199</v>
      </c>
      <c r="C2" s="8" t="s">
        <v>200</v>
      </c>
      <c r="D2" s="8" t="s">
        <v>201</v>
      </c>
      <c r="E2" s="8" t="s">
        <v>202</v>
      </c>
      <c r="F2" s="8" t="s">
        <v>203</v>
      </c>
    </row>
    <row r="4" spans="1:20" ht="15">
      <c r="A4" s="1" t="s">
        <v>12</v>
      </c>
      <c r="B4" s="1" t="s">
        <v>89</v>
      </c>
      <c r="C4" s="1" t="s">
        <v>145</v>
      </c>
      <c r="D4" s="1" t="s">
        <v>146</v>
      </c>
      <c r="E4" s="1" t="s">
        <v>147</v>
      </c>
      <c r="F4" s="1" t="s">
        <v>218</v>
      </c>
      <c r="G4" s="1" t="s">
        <v>219</v>
      </c>
      <c r="H4" s="1" t="s">
        <v>220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153</v>
      </c>
      <c r="Q4" t="s">
        <v>12</v>
      </c>
      <c r="R4" t="s">
        <v>145</v>
      </c>
      <c r="S4" t="s">
        <v>146</v>
      </c>
      <c r="T4" t="s">
        <v>147</v>
      </c>
    </row>
    <row r="5" spans="1:20">
      <c r="A5" t="s">
        <v>20</v>
      </c>
      <c r="B5">
        <v>882</v>
      </c>
      <c r="C5">
        <v>617</v>
      </c>
      <c r="D5">
        <v>132</v>
      </c>
      <c r="E5">
        <v>133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  <c r="M5" t="s">
        <v>161</v>
      </c>
      <c r="N5" t="s">
        <v>162</v>
      </c>
      <c r="Q5" t="s">
        <v>20</v>
      </c>
      <c r="R5">
        <v>617</v>
      </c>
      <c r="S5">
        <v>132</v>
      </c>
      <c r="T5">
        <v>133</v>
      </c>
    </row>
    <row r="6" spans="1:20">
      <c r="A6" t="s">
        <v>22</v>
      </c>
      <c r="B6">
        <v>1000</v>
      </c>
      <c r="C6">
        <v>700</v>
      </c>
      <c r="D6">
        <v>150</v>
      </c>
      <c r="E6">
        <v>150</v>
      </c>
      <c r="F6" t="s">
        <v>163</v>
      </c>
      <c r="G6" t="s">
        <v>164</v>
      </c>
      <c r="H6" t="s">
        <v>165</v>
      </c>
      <c r="I6" t="s">
        <v>78</v>
      </c>
      <c r="J6" t="s">
        <v>78</v>
      </c>
      <c r="K6" t="s">
        <v>166</v>
      </c>
      <c r="L6" t="s">
        <v>167</v>
      </c>
      <c r="M6" t="s">
        <v>168</v>
      </c>
      <c r="N6" t="s">
        <v>162</v>
      </c>
      <c r="Q6" t="s">
        <v>22</v>
      </c>
      <c r="R6">
        <v>700</v>
      </c>
      <c r="S6">
        <v>150</v>
      </c>
      <c r="T6">
        <v>150</v>
      </c>
    </row>
    <row r="7" spans="1:20">
      <c r="A7" t="s">
        <v>25</v>
      </c>
      <c r="B7">
        <v>1000</v>
      </c>
      <c r="C7">
        <v>700</v>
      </c>
      <c r="D7">
        <v>150</v>
      </c>
      <c r="E7">
        <v>150</v>
      </c>
      <c r="F7" t="s">
        <v>164</v>
      </c>
      <c r="G7" t="s">
        <v>164</v>
      </c>
      <c r="H7" t="s">
        <v>164</v>
      </c>
      <c r="I7" t="s">
        <v>77</v>
      </c>
      <c r="J7" t="s">
        <v>78</v>
      </c>
      <c r="K7" t="s">
        <v>169</v>
      </c>
      <c r="L7" t="s">
        <v>170</v>
      </c>
      <c r="M7" t="s">
        <v>167</v>
      </c>
      <c r="N7" t="s">
        <v>162</v>
      </c>
      <c r="Q7" t="s">
        <v>25</v>
      </c>
      <c r="R7">
        <v>700</v>
      </c>
      <c r="S7">
        <v>150</v>
      </c>
      <c r="T7">
        <v>150</v>
      </c>
    </row>
    <row r="8" spans="1:20">
      <c r="A8" t="s">
        <v>28</v>
      </c>
      <c r="B8">
        <v>1000</v>
      </c>
      <c r="C8">
        <v>700</v>
      </c>
      <c r="D8">
        <v>150</v>
      </c>
      <c r="E8">
        <v>150</v>
      </c>
      <c r="F8" t="s">
        <v>171</v>
      </c>
      <c r="G8" t="s">
        <v>171</v>
      </c>
      <c r="H8" t="s">
        <v>171</v>
      </c>
      <c r="I8" t="s">
        <v>79</v>
      </c>
      <c r="J8" t="s">
        <v>79</v>
      </c>
      <c r="K8" t="s">
        <v>172</v>
      </c>
      <c r="L8" t="s">
        <v>172</v>
      </c>
      <c r="M8" t="s">
        <v>172</v>
      </c>
      <c r="N8" t="s">
        <v>162</v>
      </c>
      <c r="Q8" t="s">
        <v>28</v>
      </c>
      <c r="R8">
        <v>700</v>
      </c>
      <c r="S8">
        <v>150</v>
      </c>
      <c r="T8">
        <v>150</v>
      </c>
    </row>
    <row r="9" spans="1:20">
      <c r="A9" t="s">
        <v>31</v>
      </c>
      <c r="B9">
        <v>1000</v>
      </c>
      <c r="C9">
        <v>700</v>
      </c>
      <c r="D9">
        <v>150</v>
      </c>
      <c r="E9">
        <v>150</v>
      </c>
      <c r="F9" t="s">
        <v>154</v>
      </c>
      <c r="G9" t="s">
        <v>173</v>
      </c>
      <c r="H9" t="s">
        <v>174</v>
      </c>
      <c r="I9" t="s">
        <v>175</v>
      </c>
      <c r="J9" t="s">
        <v>175</v>
      </c>
      <c r="K9" t="s">
        <v>176</v>
      </c>
      <c r="L9" t="s">
        <v>177</v>
      </c>
      <c r="M9" t="s">
        <v>178</v>
      </c>
      <c r="N9" t="s">
        <v>162</v>
      </c>
      <c r="Q9" t="s">
        <v>31</v>
      </c>
      <c r="R9">
        <v>700</v>
      </c>
      <c r="S9">
        <v>150</v>
      </c>
      <c r="T9">
        <v>150</v>
      </c>
    </row>
    <row r="10" spans="1:20">
      <c r="A10" t="s">
        <v>32</v>
      </c>
      <c r="B10">
        <v>1000</v>
      </c>
      <c r="C10">
        <v>700</v>
      </c>
      <c r="D10">
        <v>150</v>
      </c>
      <c r="E10">
        <v>150</v>
      </c>
      <c r="F10" t="s">
        <v>179</v>
      </c>
      <c r="G10" t="s">
        <v>179</v>
      </c>
      <c r="H10" t="s">
        <v>180</v>
      </c>
      <c r="I10" t="s">
        <v>71</v>
      </c>
      <c r="J10" t="s">
        <v>71</v>
      </c>
      <c r="K10" t="s">
        <v>181</v>
      </c>
      <c r="L10" t="s">
        <v>181</v>
      </c>
      <c r="M10" t="s">
        <v>182</v>
      </c>
      <c r="N10" t="s">
        <v>162</v>
      </c>
      <c r="Q10" t="s">
        <v>32</v>
      </c>
      <c r="R10">
        <v>700</v>
      </c>
      <c r="S10">
        <v>150</v>
      </c>
      <c r="T10">
        <v>150</v>
      </c>
    </row>
    <row r="11" spans="1:20">
      <c r="A11" t="s">
        <v>33</v>
      </c>
      <c r="B11">
        <v>1000</v>
      </c>
      <c r="C11">
        <v>700</v>
      </c>
      <c r="D11">
        <v>150</v>
      </c>
      <c r="E11">
        <v>150</v>
      </c>
      <c r="F11" t="s">
        <v>183</v>
      </c>
      <c r="G11" t="s">
        <v>184</v>
      </c>
      <c r="H11" t="s">
        <v>185</v>
      </c>
      <c r="I11" t="s">
        <v>186</v>
      </c>
      <c r="J11" t="s">
        <v>186</v>
      </c>
      <c r="K11" t="s">
        <v>187</v>
      </c>
      <c r="L11" t="s">
        <v>188</v>
      </c>
      <c r="M11" t="s">
        <v>189</v>
      </c>
      <c r="N11" t="s">
        <v>162</v>
      </c>
      <c r="Q11" t="s">
        <v>33</v>
      </c>
      <c r="R11">
        <v>700</v>
      </c>
      <c r="S11">
        <v>150</v>
      </c>
      <c r="T11">
        <v>150</v>
      </c>
    </row>
    <row r="12" spans="1:20">
      <c r="A12" t="s">
        <v>34</v>
      </c>
      <c r="B12">
        <v>1000</v>
      </c>
      <c r="C12">
        <v>700</v>
      </c>
      <c r="D12">
        <v>150</v>
      </c>
      <c r="E12">
        <v>150</v>
      </c>
      <c r="F12" t="s">
        <v>190</v>
      </c>
      <c r="G12" t="s">
        <v>191</v>
      </c>
      <c r="H12" t="s">
        <v>192</v>
      </c>
      <c r="I12" t="s">
        <v>193</v>
      </c>
      <c r="J12" t="s">
        <v>193</v>
      </c>
      <c r="K12" t="s">
        <v>194</v>
      </c>
      <c r="L12" t="s">
        <v>195</v>
      </c>
      <c r="M12" t="s">
        <v>196</v>
      </c>
      <c r="N12" t="s">
        <v>162</v>
      </c>
      <c r="Q12" t="s">
        <v>34</v>
      </c>
      <c r="R12">
        <v>700</v>
      </c>
      <c r="S12">
        <v>150</v>
      </c>
      <c r="T12">
        <v>150</v>
      </c>
    </row>
    <row r="14" spans="1:20" ht="15">
      <c r="A14" s="4" t="s">
        <v>13</v>
      </c>
      <c r="B14" s="4">
        <v>7882</v>
      </c>
      <c r="C14" s="4">
        <v>5517</v>
      </c>
      <c r="D14" s="4">
        <v>1182</v>
      </c>
      <c r="E14" s="4">
        <v>1183</v>
      </c>
    </row>
    <row r="21" spans="9:9">
      <c r="I21" s="17"/>
    </row>
  </sheetData>
  <mergeCells count="1"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4"/>
  <sheetViews>
    <sheetView showGridLines="0" workbookViewId="0">
      <selection activeCell="J24" sqref="J24"/>
    </sheetView>
  </sheetViews>
  <sheetFormatPr baseColWidth="10" defaultColWidth="9" defaultRowHeight="14.25"/>
  <cols>
    <col min="1" max="10" width="18.75" customWidth="1"/>
    <col min="11" max="14" width="35" customWidth="1"/>
  </cols>
  <sheetData>
    <row r="1" spans="1:20" ht="20.25">
      <c r="A1" s="15" t="s">
        <v>204</v>
      </c>
      <c r="B1" s="13"/>
      <c r="C1" s="13"/>
      <c r="D1" s="13"/>
      <c r="E1" s="13"/>
      <c r="F1" s="13"/>
      <c r="G1" s="13"/>
      <c r="H1" s="13"/>
      <c r="I1" s="13"/>
      <c r="J1" s="13"/>
      <c r="K1" s="16"/>
      <c r="L1" s="16"/>
      <c r="M1" s="16"/>
      <c r="N1" s="9"/>
    </row>
    <row r="2" spans="1:20" ht="30">
      <c r="A2" s="8" t="s">
        <v>205</v>
      </c>
      <c r="B2" s="8" t="s">
        <v>206</v>
      </c>
      <c r="C2" s="8" t="s">
        <v>207</v>
      </c>
      <c r="D2" s="8" t="s">
        <v>208</v>
      </c>
      <c r="E2" s="8" t="s">
        <v>209</v>
      </c>
      <c r="F2" s="8" t="s">
        <v>210</v>
      </c>
    </row>
    <row r="4" spans="1:20" ht="15">
      <c r="A4" s="1" t="s">
        <v>12</v>
      </c>
      <c r="B4" s="1" t="s">
        <v>89</v>
      </c>
      <c r="C4" s="1" t="s">
        <v>145</v>
      </c>
      <c r="D4" s="1" t="s">
        <v>146</v>
      </c>
      <c r="E4" s="1" t="s">
        <v>147</v>
      </c>
      <c r="F4" s="1" t="s">
        <v>218</v>
      </c>
      <c r="G4" s="1" t="s">
        <v>219</v>
      </c>
      <c r="H4" s="1" t="s">
        <v>220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153</v>
      </c>
      <c r="Q4" t="s">
        <v>12</v>
      </c>
      <c r="R4" t="s">
        <v>145</v>
      </c>
      <c r="S4" t="s">
        <v>146</v>
      </c>
      <c r="T4" t="s">
        <v>147</v>
      </c>
    </row>
    <row r="5" spans="1:20">
      <c r="A5" t="s">
        <v>20</v>
      </c>
      <c r="B5">
        <v>882</v>
      </c>
      <c r="C5">
        <v>617</v>
      </c>
      <c r="D5">
        <v>132</v>
      </c>
      <c r="E5">
        <v>133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  <c r="M5" t="s">
        <v>161</v>
      </c>
      <c r="N5" t="s">
        <v>162</v>
      </c>
      <c r="Q5" t="s">
        <v>20</v>
      </c>
      <c r="R5">
        <v>617</v>
      </c>
      <c r="S5">
        <v>132</v>
      </c>
      <c r="T5">
        <v>133</v>
      </c>
    </row>
    <row r="6" spans="1:20">
      <c r="A6" t="s">
        <v>22</v>
      </c>
      <c r="B6">
        <v>1123</v>
      </c>
      <c r="C6">
        <v>786</v>
      </c>
      <c r="D6">
        <v>168</v>
      </c>
      <c r="E6">
        <v>169</v>
      </c>
      <c r="F6" t="s">
        <v>163</v>
      </c>
      <c r="G6" t="s">
        <v>164</v>
      </c>
      <c r="H6" t="s">
        <v>165</v>
      </c>
      <c r="I6" t="s">
        <v>78</v>
      </c>
      <c r="J6" t="s">
        <v>78</v>
      </c>
      <c r="K6" t="s">
        <v>166</v>
      </c>
      <c r="L6" t="s">
        <v>167</v>
      </c>
      <c r="M6" t="s">
        <v>168</v>
      </c>
      <c r="N6" t="s">
        <v>162</v>
      </c>
      <c r="Q6" t="s">
        <v>22</v>
      </c>
      <c r="R6">
        <v>786</v>
      </c>
      <c r="S6">
        <v>168</v>
      </c>
      <c r="T6">
        <v>169</v>
      </c>
    </row>
    <row r="7" spans="1:20">
      <c r="A7" t="s">
        <v>25</v>
      </c>
      <c r="B7">
        <v>1500</v>
      </c>
      <c r="C7">
        <v>1050</v>
      </c>
      <c r="D7">
        <v>225</v>
      </c>
      <c r="E7">
        <v>225</v>
      </c>
      <c r="F7" t="s">
        <v>164</v>
      </c>
      <c r="G7" t="s">
        <v>164</v>
      </c>
      <c r="H7" t="s">
        <v>164</v>
      </c>
      <c r="I7" t="s">
        <v>77</v>
      </c>
      <c r="J7" t="s">
        <v>78</v>
      </c>
      <c r="K7" t="s">
        <v>169</v>
      </c>
      <c r="L7" t="s">
        <v>170</v>
      </c>
      <c r="M7" t="s">
        <v>167</v>
      </c>
      <c r="N7" t="s">
        <v>162</v>
      </c>
      <c r="Q7" t="s">
        <v>25</v>
      </c>
      <c r="R7">
        <v>1050</v>
      </c>
      <c r="S7">
        <v>225</v>
      </c>
      <c r="T7">
        <v>225</v>
      </c>
    </row>
    <row r="8" spans="1:20">
      <c r="A8" t="s">
        <v>28</v>
      </c>
      <c r="B8">
        <v>1150</v>
      </c>
      <c r="C8">
        <v>805</v>
      </c>
      <c r="D8">
        <v>172</v>
      </c>
      <c r="E8">
        <v>173</v>
      </c>
      <c r="F8" t="s">
        <v>171</v>
      </c>
      <c r="G8" t="s">
        <v>171</v>
      </c>
      <c r="H8" t="s">
        <v>171</v>
      </c>
      <c r="I8" t="s">
        <v>79</v>
      </c>
      <c r="J8" t="s">
        <v>79</v>
      </c>
      <c r="K8" t="s">
        <v>172</v>
      </c>
      <c r="L8" t="s">
        <v>172</v>
      </c>
      <c r="M8" t="s">
        <v>172</v>
      </c>
      <c r="N8" t="s">
        <v>162</v>
      </c>
      <c r="Q8" t="s">
        <v>28</v>
      </c>
      <c r="R8">
        <v>805</v>
      </c>
      <c r="S8">
        <v>172</v>
      </c>
      <c r="T8">
        <v>173</v>
      </c>
    </row>
    <row r="9" spans="1:20">
      <c r="A9" t="s">
        <v>31</v>
      </c>
      <c r="B9">
        <v>1500</v>
      </c>
      <c r="C9">
        <v>1050</v>
      </c>
      <c r="D9">
        <v>225</v>
      </c>
      <c r="E9">
        <v>225</v>
      </c>
      <c r="F9" t="s">
        <v>154</v>
      </c>
      <c r="G9" t="s">
        <v>173</v>
      </c>
      <c r="H9" t="s">
        <v>174</v>
      </c>
      <c r="I9" t="s">
        <v>175</v>
      </c>
      <c r="J9" t="s">
        <v>175</v>
      </c>
      <c r="K9" t="s">
        <v>176</v>
      </c>
      <c r="L9" t="s">
        <v>177</v>
      </c>
      <c r="M9" t="s">
        <v>178</v>
      </c>
      <c r="N9" t="s">
        <v>162</v>
      </c>
      <c r="Q9" t="s">
        <v>31</v>
      </c>
      <c r="R9">
        <v>1050</v>
      </c>
      <c r="S9">
        <v>225</v>
      </c>
      <c r="T9">
        <v>225</v>
      </c>
    </row>
    <row r="10" spans="1:20">
      <c r="A10" t="s">
        <v>32</v>
      </c>
      <c r="B10">
        <v>1500</v>
      </c>
      <c r="C10">
        <v>1050</v>
      </c>
      <c r="D10">
        <v>225</v>
      </c>
      <c r="E10">
        <v>225</v>
      </c>
      <c r="F10" t="s">
        <v>179</v>
      </c>
      <c r="G10" t="s">
        <v>179</v>
      </c>
      <c r="H10" t="s">
        <v>180</v>
      </c>
      <c r="I10" t="s">
        <v>71</v>
      </c>
      <c r="J10" t="s">
        <v>71</v>
      </c>
      <c r="K10" t="s">
        <v>181</v>
      </c>
      <c r="L10" t="s">
        <v>181</v>
      </c>
      <c r="M10" t="s">
        <v>182</v>
      </c>
      <c r="N10" t="s">
        <v>162</v>
      </c>
      <c r="Q10" t="s">
        <v>32</v>
      </c>
      <c r="R10">
        <v>1050</v>
      </c>
      <c r="S10">
        <v>225</v>
      </c>
      <c r="T10">
        <v>225</v>
      </c>
    </row>
    <row r="11" spans="1:20">
      <c r="A11" t="s">
        <v>33</v>
      </c>
      <c r="B11">
        <v>1074</v>
      </c>
      <c r="C11">
        <v>751</v>
      </c>
      <c r="D11">
        <v>161</v>
      </c>
      <c r="E11">
        <v>162</v>
      </c>
      <c r="F11" t="s">
        <v>183</v>
      </c>
      <c r="G11" t="s">
        <v>184</v>
      </c>
      <c r="H11" t="s">
        <v>185</v>
      </c>
      <c r="I11" t="s">
        <v>186</v>
      </c>
      <c r="J11" t="s">
        <v>186</v>
      </c>
      <c r="K11" t="s">
        <v>187</v>
      </c>
      <c r="L11" t="s">
        <v>188</v>
      </c>
      <c r="M11" t="s">
        <v>189</v>
      </c>
      <c r="N11" t="s">
        <v>162</v>
      </c>
      <c r="Q11" t="s">
        <v>33</v>
      </c>
      <c r="R11">
        <v>751</v>
      </c>
      <c r="S11">
        <v>161</v>
      </c>
      <c r="T11">
        <v>162</v>
      </c>
    </row>
    <row r="12" spans="1:20">
      <c r="A12" t="s">
        <v>34</v>
      </c>
      <c r="B12">
        <v>1500</v>
      </c>
      <c r="C12">
        <v>1050</v>
      </c>
      <c r="D12">
        <v>225</v>
      </c>
      <c r="E12">
        <v>225</v>
      </c>
      <c r="F12" t="s">
        <v>190</v>
      </c>
      <c r="G12" t="s">
        <v>191</v>
      </c>
      <c r="H12" t="s">
        <v>192</v>
      </c>
      <c r="I12" t="s">
        <v>193</v>
      </c>
      <c r="J12" t="s">
        <v>193</v>
      </c>
      <c r="K12" t="s">
        <v>194</v>
      </c>
      <c r="L12" t="s">
        <v>195</v>
      </c>
      <c r="M12" t="s">
        <v>196</v>
      </c>
      <c r="N12" t="s">
        <v>162</v>
      </c>
      <c r="Q12" t="s">
        <v>34</v>
      </c>
      <c r="R12">
        <v>1050</v>
      </c>
      <c r="S12">
        <v>225</v>
      </c>
      <c r="T12">
        <v>225</v>
      </c>
    </row>
    <row r="14" spans="1:20" ht="15">
      <c r="A14" s="4" t="s">
        <v>13</v>
      </c>
      <c r="B14" s="4">
        <v>10229</v>
      </c>
      <c r="C14" s="4">
        <v>7159</v>
      </c>
      <c r="D14" s="4">
        <v>1533</v>
      </c>
      <c r="E14" s="4">
        <v>1537</v>
      </c>
    </row>
    <row r="24" spans="10:10">
      <c r="J24" s="17"/>
    </row>
  </sheetData>
  <mergeCells count="1"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4"/>
  <sheetViews>
    <sheetView showGridLines="0" zoomScale="91" zoomScaleNormal="91" workbookViewId="0">
      <selection activeCell="K31" sqref="K31"/>
    </sheetView>
  </sheetViews>
  <sheetFormatPr baseColWidth="10" defaultColWidth="9" defaultRowHeight="14.25"/>
  <cols>
    <col min="1" max="10" width="18.75" customWidth="1"/>
    <col min="11" max="13" width="35" customWidth="1"/>
    <col min="14" max="14" width="77.5" bestFit="1" customWidth="1"/>
  </cols>
  <sheetData>
    <row r="1" spans="1:20" ht="20.25">
      <c r="A1" s="15" t="s">
        <v>211</v>
      </c>
      <c r="B1" s="13"/>
      <c r="C1" s="13"/>
      <c r="D1" s="13"/>
      <c r="E1" s="13"/>
      <c r="F1" s="13"/>
      <c r="G1" s="13"/>
      <c r="H1" s="13"/>
      <c r="I1" s="13"/>
      <c r="J1" s="13"/>
      <c r="K1" s="16"/>
      <c r="L1" s="16"/>
      <c r="M1" s="16"/>
      <c r="N1" s="9"/>
    </row>
    <row r="2" spans="1:20" ht="30">
      <c r="A2" s="8" t="s">
        <v>212</v>
      </c>
      <c r="B2" s="8" t="s">
        <v>213</v>
      </c>
      <c r="C2" s="8" t="s">
        <v>214</v>
      </c>
      <c r="D2" s="8" t="s">
        <v>215</v>
      </c>
      <c r="E2" s="8" t="s">
        <v>216</v>
      </c>
      <c r="F2" s="8" t="s">
        <v>217</v>
      </c>
    </row>
    <row r="4" spans="1:20" ht="15">
      <c r="A4" s="1" t="s">
        <v>12</v>
      </c>
      <c r="B4" s="1" t="s">
        <v>89</v>
      </c>
      <c r="C4" s="1" t="s">
        <v>145</v>
      </c>
      <c r="D4" s="1" t="s">
        <v>146</v>
      </c>
      <c r="E4" s="1" t="s">
        <v>147</v>
      </c>
      <c r="F4" s="1" t="s">
        <v>218</v>
      </c>
      <c r="G4" s="1" t="s">
        <v>219</v>
      </c>
      <c r="H4" s="1" t="s">
        <v>220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153</v>
      </c>
      <c r="Q4" t="s">
        <v>12</v>
      </c>
      <c r="R4" t="s">
        <v>145</v>
      </c>
      <c r="S4" t="s">
        <v>146</v>
      </c>
      <c r="T4" t="s">
        <v>147</v>
      </c>
    </row>
    <row r="5" spans="1:20">
      <c r="A5" t="s">
        <v>20</v>
      </c>
      <c r="B5">
        <v>882</v>
      </c>
      <c r="C5">
        <v>617</v>
      </c>
      <c r="D5">
        <v>132</v>
      </c>
      <c r="E5">
        <v>133</v>
      </c>
      <c r="F5" t="s">
        <v>154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  <c r="M5" t="s">
        <v>161</v>
      </c>
      <c r="N5" t="s">
        <v>162</v>
      </c>
      <c r="Q5" t="s">
        <v>20</v>
      </c>
      <c r="R5">
        <v>617</v>
      </c>
      <c r="S5">
        <v>132</v>
      </c>
      <c r="T5">
        <v>133</v>
      </c>
    </row>
    <row r="6" spans="1:20">
      <c r="A6" t="s">
        <v>22</v>
      </c>
      <c r="B6">
        <v>1123</v>
      </c>
      <c r="C6">
        <v>786</v>
      </c>
      <c r="D6">
        <v>168</v>
      </c>
      <c r="E6">
        <v>169</v>
      </c>
      <c r="F6" t="s">
        <v>163</v>
      </c>
      <c r="G6" t="s">
        <v>164</v>
      </c>
      <c r="H6" t="s">
        <v>165</v>
      </c>
      <c r="I6" t="s">
        <v>78</v>
      </c>
      <c r="J6" t="s">
        <v>78</v>
      </c>
      <c r="K6" t="s">
        <v>166</v>
      </c>
      <c r="L6" t="s">
        <v>167</v>
      </c>
      <c r="M6" t="s">
        <v>168</v>
      </c>
      <c r="N6" t="s">
        <v>162</v>
      </c>
      <c r="Q6" t="s">
        <v>22</v>
      </c>
      <c r="R6">
        <v>786</v>
      </c>
      <c r="S6">
        <v>168</v>
      </c>
      <c r="T6">
        <v>169</v>
      </c>
    </row>
    <row r="7" spans="1:20">
      <c r="A7" t="s">
        <v>25</v>
      </c>
      <c r="B7">
        <v>2000</v>
      </c>
      <c r="C7">
        <v>1400</v>
      </c>
      <c r="D7">
        <v>300</v>
      </c>
      <c r="E7">
        <v>300</v>
      </c>
      <c r="F7" t="s">
        <v>164</v>
      </c>
      <c r="G7" t="s">
        <v>164</v>
      </c>
      <c r="H7" t="s">
        <v>164</v>
      </c>
      <c r="I7" t="s">
        <v>77</v>
      </c>
      <c r="J7" t="s">
        <v>78</v>
      </c>
      <c r="K7" t="s">
        <v>169</v>
      </c>
      <c r="L7" t="s">
        <v>170</v>
      </c>
      <c r="M7" t="s">
        <v>167</v>
      </c>
      <c r="N7" t="s">
        <v>162</v>
      </c>
      <c r="Q7" t="s">
        <v>25</v>
      </c>
      <c r="R7">
        <v>1400</v>
      </c>
      <c r="S7">
        <v>300</v>
      </c>
      <c r="T7">
        <v>300</v>
      </c>
    </row>
    <row r="8" spans="1:20">
      <c r="A8" t="s">
        <v>28</v>
      </c>
      <c r="B8">
        <v>1150</v>
      </c>
      <c r="C8">
        <v>805</v>
      </c>
      <c r="D8">
        <v>172</v>
      </c>
      <c r="E8">
        <v>173</v>
      </c>
      <c r="F8" t="s">
        <v>171</v>
      </c>
      <c r="G8" t="s">
        <v>171</v>
      </c>
      <c r="H8" t="s">
        <v>171</v>
      </c>
      <c r="I8" t="s">
        <v>79</v>
      </c>
      <c r="J8" t="s">
        <v>79</v>
      </c>
      <c r="K8" t="s">
        <v>172</v>
      </c>
      <c r="L8" t="s">
        <v>172</v>
      </c>
      <c r="M8" t="s">
        <v>172</v>
      </c>
      <c r="N8" t="s">
        <v>162</v>
      </c>
      <c r="Q8" t="s">
        <v>28</v>
      </c>
      <c r="R8">
        <v>805</v>
      </c>
      <c r="S8">
        <v>172</v>
      </c>
      <c r="T8">
        <v>173</v>
      </c>
    </row>
    <row r="9" spans="1:20">
      <c r="A9" t="s">
        <v>31</v>
      </c>
      <c r="B9">
        <v>2000</v>
      </c>
      <c r="C9">
        <v>1400</v>
      </c>
      <c r="D9">
        <v>300</v>
      </c>
      <c r="E9">
        <v>300</v>
      </c>
      <c r="F9" t="s">
        <v>154</v>
      </c>
      <c r="G9" t="s">
        <v>173</v>
      </c>
      <c r="H9" t="s">
        <v>174</v>
      </c>
      <c r="I9" t="s">
        <v>175</v>
      </c>
      <c r="J9" t="s">
        <v>175</v>
      </c>
      <c r="K9" t="s">
        <v>176</v>
      </c>
      <c r="L9" t="s">
        <v>177</v>
      </c>
      <c r="M9" t="s">
        <v>178</v>
      </c>
      <c r="N9" t="s">
        <v>162</v>
      </c>
      <c r="Q9" t="s">
        <v>31</v>
      </c>
      <c r="R9">
        <v>1400</v>
      </c>
      <c r="S9">
        <v>300</v>
      </c>
      <c r="T9">
        <v>300</v>
      </c>
    </row>
    <row r="10" spans="1:20">
      <c r="A10" t="s">
        <v>32</v>
      </c>
      <c r="B10">
        <v>2000</v>
      </c>
      <c r="C10">
        <v>1400</v>
      </c>
      <c r="D10">
        <v>300</v>
      </c>
      <c r="E10">
        <v>300</v>
      </c>
      <c r="F10" t="s">
        <v>179</v>
      </c>
      <c r="G10" t="s">
        <v>179</v>
      </c>
      <c r="H10" t="s">
        <v>180</v>
      </c>
      <c r="I10" t="s">
        <v>71</v>
      </c>
      <c r="J10" t="s">
        <v>71</v>
      </c>
      <c r="K10" t="s">
        <v>181</v>
      </c>
      <c r="L10" t="s">
        <v>181</v>
      </c>
      <c r="M10" t="s">
        <v>182</v>
      </c>
      <c r="N10" t="s">
        <v>162</v>
      </c>
      <c r="Q10" t="s">
        <v>32</v>
      </c>
      <c r="R10">
        <v>1400</v>
      </c>
      <c r="S10">
        <v>300</v>
      </c>
      <c r="T10">
        <v>300</v>
      </c>
    </row>
    <row r="11" spans="1:20">
      <c r="A11" t="s">
        <v>33</v>
      </c>
      <c r="B11">
        <v>1074</v>
      </c>
      <c r="C11">
        <v>751</v>
      </c>
      <c r="D11">
        <v>161</v>
      </c>
      <c r="E11">
        <v>162</v>
      </c>
      <c r="F11" t="s">
        <v>183</v>
      </c>
      <c r="G11" t="s">
        <v>184</v>
      </c>
      <c r="H11" t="s">
        <v>185</v>
      </c>
      <c r="I11" t="s">
        <v>186</v>
      </c>
      <c r="J11" t="s">
        <v>186</v>
      </c>
      <c r="K11" t="s">
        <v>187</v>
      </c>
      <c r="L11" t="s">
        <v>188</v>
      </c>
      <c r="M11" t="s">
        <v>189</v>
      </c>
      <c r="N11" t="s">
        <v>162</v>
      </c>
      <c r="Q11" t="s">
        <v>33</v>
      </c>
      <c r="R11">
        <v>751</v>
      </c>
      <c r="S11">
        <v>161</v>
      </c>
      <c r="T11">
        <v>162</v>
      </c>
    </row>
    <row r="12" spans="1:20">
      <c r="A12" t="s">
        <v>34</v>
      </c>
      <c r="B12">
        <v>2000</v>
      </c>
      <c r="C12">
        <v>1400</v>
      </c>
      <c r="D12">
        <v>300</v>
      </c>
      <c r="E12">
        <v>300</v>
      </c>
      <c r="F12" t="s">
        <v>190</v>
      </c>
      <c r="G12" t="s">
        <v>191</v>
      </c>
      <c r="H12" t="s">
        <v>192</v>
      </c>
      <c r="I12" t="s">
        <v>193</v>
      </c>
      <c r="J12" t="s">
        <v>193</v>
      </c>
      <c r="K12" t="s">
        <v>194</v>
      </c>
      <c r="L12" t="s">
        <v>195</v>
      </c>
      <c r="M12" t="s">
        <v>196</v>
      </c>
      <c r="N12" t="s">
        <v>162</v>
      </c>
      <c r="Q12" t="s">
        <v>34</v>
      </c>
      <c r="R12">
        <v>1400</v>
      </c>
      <c r="S12">
        <v>300</v>
      </c>
      <c r="T12">
        <v>300</v>
      </c>
    </row>
    <row r="14" spans="1:20" ht="15">
      <c r="A14" s="4" t="s">
        <v>13</v>
      </c>
      <c r="B14" s="4">
        <v>12229</v>
      </c>
      <c r="C14" s="4">
        <v>8559</v>
      </c>
      <c r="D14" s="4">
        <v>1833</v>
      </c>
      <c r="E14" s="4">
        <v>1837</v>
      </c>
    </row>
  </sheetData>
  <mergeCells count="1">
    <mergeCell ref="A1:M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</vt:lpstr>
      <vt:lpstr>Propuestas</vt:lpstr>
      <vt:lpstr>Temporalidad</vt:lpstr>
      <vt:lpstr>Splits_Propuestos</vt:lpstr>
      <vt:lpstr>Criterios</vt:lpstr>
      <vt:lpstr>Split_Todo</vt:lpstr>
      <vt:lpstr>Split_1000</vt:lpstr>
      <vt:lpstr>Split_1500</vt:lpstr>
      <vt:lpstr>Split_2000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Adolfo Mora Cordova</cp:lastModifiedBy>
  <dcterms:modified xsi:type="dcterms:W3CDTF">2026-06-03T14:46:52Z</dcterms:modified>
</cp:coreProperties>
</file>